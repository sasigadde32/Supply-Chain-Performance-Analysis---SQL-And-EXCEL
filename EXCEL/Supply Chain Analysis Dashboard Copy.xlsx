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e4fa0b8db933538/Desktop/"/>
    </mc:Choice>
  </mc:AlternateContent>
  <xr:revisionPtr revIDLastSave="251" documentId="8_{8B4BD132-7E7A-4A99-B039-3E8C032E14D2}" xr6:coauthVersionLast="47" xr6:coauthVersionMax="47" xr10:uidLastSave="{932828B0-A82E-4099-B888-CB5D5C02A91D}"/>
  <bookViews>
    <workbookView xWindow="0" yWindow="0" windowWidth="23040" windowHeight="12240" firstSheet="3" activeTab="6" xr2:uid="{00000000-000D-0000-FFFF-FFFF00000000}"/>
  </bookViews>
  <sheets>
    <sheet name="supply_chain_data" sheetId="1" r:id="rId1"/>
    <sheet name="PVT Revenue" sheetId="8" r:id="rId2"/>
    <sheet name="Dashboard Revenue" sheetId="11" r:id="rId3"/>
    <sheet name="PVT Inventory" sheetId="12" r:id="rId4"/>
    <sheet name="Dashboard Inventory" sheetId="13" r:id="rId5"/>
    <sheet name="PVT Tranportation" sheetId="14" r:id="rId6"/>
    <sheet name="Dashboard Tranportation Mode" sheetId="17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2" l="1"/>
  <c r="B25" i="12"/>
  <c r="B24" i="12"/>
  <c r="B23" i="12"/>
  <c r="A23" i="14"/>
  <c r="A22" i="14"/>
  <c r="A21" i="14"/>
  <c r="A20" i="14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2" i="1"/>
  <c r="B5" i="8"/>
  <c r="B4" i="8"/>
  <c r="B3" i="8"/>
  <c r="B2" i="8"/>
  <c r="B1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2" i="1"/>
  <c r="AA132" i="1"/>
  <c r="Z132" i="1"/>
  <c r="AA131" i="1"/>
  <c r="Z131" i="1"/>
  <c r="AA130" i="1"/>
  <c r="Z130" i="1"/>
  <c r="AA129" i="1"/>
  <c r="Z129" i="1"/>
  <c r="AA128" i="1"/>
  <c r="Z128" i="1"/>
  <c r="AA127" i="1"/>
  <c r="Z127" i="1"/>
  <c r="AA126" i="1"/>
  <c r="Z126" i="1"/>
  <c r="AA125" i="1"/>
  <c r="Z125" i="1"/>
  <c r="AA124" i="1"/>
  <c r="Z124" i="1"/>
  <c r="AA123" i="1"/>
  <c r="Z123" i="1"/>
  <c r="AA122" i="1"/>
  <c r="Z122" i="1"/>
  <c r="AA121" i="1"/>
  <c r="Z121" i="1"/>
  <c r="AA120" i="1"/>
  <c r="Z120" i="1"/>
  <c r="AA119" i="1"/>
  <c r="Z119" i="1"/>
  <c r="AA118" i="1"/>
  <c r="Z118" i="1"/>
  <c r="AA117" i="1"/>
  <c r="Z117" i="1"/>
  <c r="AA116" i="1"/>
  <c r="Z116" i="1"/>
  <c r="AA115" i="1"/>
  <c r="Z115" i="1"/>
  <c r="AA114" i="1"/>
  <c r="Z114" i="1"/>
  <c r="AA113" i="1"/>
  <c r="Z113" i="1"/>
  <c r="AA112" i="1"/>
  <c r="Z112" i="1"/>
  <c r="AA111" i="1"/>
  <c r="Z111" i="1"/>
  <c r="AA110" i="1"/>
  <c r="Z110" i="1"/>
  <c r="AA109" i="1"/>
  <c r="Z109" i="1"/>
  <c r="AA108" i="1"/>
  <c r="Z108" i="1"/>
  <c r="AA107" i="1"/>
  <c r="Z107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<sst xmlns="http://schemas.openxmlformats.org/spreadsheetml/2006/main" count="1039" uniqueCount="172">
  <si>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</si>
  <si>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</si>
  <si>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</si>
  <si>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</si>
  <si>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</si>
  <si>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</si>
  <si>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</si>
  <si>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</si>
  <si>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Total Revenue</t>
  </si>
  <si>
    <t>Lead times</t>
  </si>
  <si>
    <t>Order quantities</t>
  </si>
  <si>
    <t>Estimated Profit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</si>
  <si>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</si>
  <si>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</si>
  <si>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</si>
  <si>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</si>
  <si>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</si>
  <si>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</si>
  <si>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</si>
  <si>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Profit Margin</t>
  </si>
  <si>
    <t>Manufacturing lead time</t>
  </si>
  <si>
    <t>Avg Defect Rate</t>
  </si>
  <si>
    <t>Manufacturing costs</t>
  </si>
  <si>
    <t>Avg Lead Time</t>
  </si>
  <si>
    <t>Inspection results</t>
  </si>
  <si>
    <t>Defect rates</t>
  </si>
  <si>
    <t>Transportation modes</t>
  </si>
  <si>
    <t>Routes</t>
  </si>
  <si>
    <t>Costs</t>
  </si>
  <si>
    <t>Profit</t>
  </si>
  <si>
    <t>Sales To Stock Ratio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</si>
  <si>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</si>
  <si>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</si>
  <si>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</si>
  <si>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</si>
  <si>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</si>
  <si>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</si>
  <si>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</si>
  <si>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</si>
  <si>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</si>
  <si>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</si>
  <si>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</si>
  <si>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</si>
  <si>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</si>
  <si>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</si>
  <si>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</si>
  <si>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</si>
  <si>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</si>
  <si>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</si>
  <si>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</si>
  <si>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</si>
  <si>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</si>
  <si>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</si>
  <si>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</si>
  <si>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</si>
  <si>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</si>
  <si>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</si>
  <si>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</si>
  <si>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</si>
  <si>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</si>
  <si>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</si>
  <si>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</si>
  <si>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Supplier 2</t>
  </si>
  <si>
    <t>Male</t>
  </si>
  <si>
    <t>Grand Total</t>
  </si>
  <si>
    <t>Sea</t>
  </si>
  <si>
    <t>cosmetics</t>
  </si>
  <si>
    <t>SKU7</t>
  </si>
  <si>
    <t>SKU8</t>
  </si>
  <si>
    <t>SKU9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</si>
  <si>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</si>
  <si>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</si>
  <si>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</si>
  <si>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</si>
  <si>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</si>
  <si>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</si>
  <si>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</si>
  <si>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</si>
  <si>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</si>
  <si>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</si>
  <si>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</si>
  <si>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</si>
  <si>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</si>
  <si>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</si>
  <si>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</si>
  <si>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</si>
  <si>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</si>
  <si>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</si>
  <si>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</si>
  <si>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</si>
  <si>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</si>
  <si>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</si>
  <si>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</si>
  <si>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</si>
  <si>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</si>
  <si>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</si>
  <si>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</si>
  <si>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</si>
  <si>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</si>
  <si>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</si>
  <si>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</si>
  <si>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</si>
  <si>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</si>
  <si>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</si>
  <si>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</si>
  <si>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</si>
  <si>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</si>
  <si>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</si>
  <si>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</si>
  <si>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</si>
  <si>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</si>
  <si>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</si>
  <si>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</si>
  <si>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</si>
  <si>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</si>
  <si>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</si>
  <si>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</si>
  <si>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</si>
  <si>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</si>
  <si>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</si>
  <si>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</si>
  <si>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</si>
  <si>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</si>
  <si>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</si>
  <si>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</si>
  <si>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</si>
  <si>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</si>
  <si>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</si>
  <si>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</si>
  <si>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</si>
  <si>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</si>
  <si>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</si>
  <si>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</si>
  <si>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</si>
  <si>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</si>
  <si>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</si>
  <si>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</si>
  <si>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</si>
  <si>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</si>
  <si>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</si>
  <si>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</si>
  <si>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</si>
  <si>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</si>
  <si>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</si>
  <si>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</si>
  <si>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</si>
  <si>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</si>
  <si>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</si>
  <si>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</si>
  <si>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</si>
  <si>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</si>
  <si>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</si>
  <si>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</si>
  <si>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</si>
  <si>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</si>
  <si>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</si>
  <si>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</si>
  <si>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</si>
  <si>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</si>
  <si>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</si>
  <si>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</si>
  <si>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</si>
  <si>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Row Labels</t>
  </si>
  <si>
    <t>Sum of Revenue generated</t>
  </si>
  <si>
    <t>Sum of Profit</t>
  </si>
  <si>
    <t>Sum of Number of products sold</t>
  </si>
  <si>
    <t>Average of Sales To Stock Ratio</t>
  </si>
  <si>
    <t>Average of Number of products sold</t>
  </si>
  <si>
    <t>Average of Shipping times</t>
  </si>
  <si>
    <t>Average of Defect rates</t>
  </si>
  <si>
    <t>Average of Pass</t>
  </si>
  <si>
    <t>Average of Shipping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</si>
</sst>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.00"/>
    <numFmt numFmtId="165" formatCode="0.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3">
    <xf numFmtId="0" fontId="0" fillId="0" borderId="0" xfId="0"/>
    <xf numFmtId="2" fontId="1" fillId="0" borderId="0" xfId="0" applyNumberFormat="1" applyFont="1"/>
    <xf numFmtId="4" fontId="1" fillId="0" borderId="0" xfId="0" applyNumberFormat="1" applyFont="1"/>
    <xf numFmtId="2" fontId="2" fillId="0" borderId="0" xfId="0" applyNumberFormat="1" applyFont="1"/>
    <xf numFmtId="4" fontId="2" fillId="0" borderId="0" xfId="0" applyNumberFormat="1" applyFont="1"/>
    <xf numFmtId="10" fontId="2" fillId="0" borderId="0" xfId="0" applyNumberFormat="1" applyFon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2" fontId="0" fillId="0" borderId="0" xfId="0" applyNumberForma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44" fontId="1" fillId="0" borderId="0" xfId="1" applyFont="1"/>
    <xf numFmtId="44" fontId="2" fillId="0" borderId="0" xfId="1" applyFont="1"/>
    <xf numFmtId="44" fontId="0" fillId="0" borderId="0" xfId="1" applyFont="1"/>
    <xf numFmtId="2" fontId="0" fillId="0" borderId="0" xfId="2" applyNumberFormat="1" applyFont="1"/>
    <xf numFmtId="0" fontId="1" fillId="0" borderId="0" xfId="2" applyNumberFormat="1" applyFont="1"/>
    <xf numFmtId="0" fontId="2" fillId="0" borderId="0" xfId="2" applyNumberFormat="1" applyFont="1"/>
    <xf numFmtId="0" fontId="0" fillId="0" borderId="0" xfId="2" applyNumberFormat="1" applyFont="1"/>
    <xf numFmtId="10" fontId="2" fillId="0" borderId="0" xfId="2" applyNumberFormat="1" applyFont="1"/>
    <xf numFmtId="10" fontId="1" fillId="0" borderId="0" xfId="0" applyNumberFormat="1" applyFont="1"/>
    <xf numFmtId="10" fontId="0" fillId="0" borderId="0" xfId="0" applyNumberFormat="1"/>
    <xf numFmtId="0" fontId="4" fillId="0" borderId="0" xfId="0" applyFont="1"/>
    <xf numFmtId="44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2" borderId="0" xfId="0" applyFill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[Supply Chain Analysis Dashboard Copy.xlsx]PVT Revenue!PivotTable1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0">
                  <a:solidFill>
                    <a:schemeClr val="accent1"/>
                  </a:solidFill>
                </a:ln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 Revenue</a:t>
            </a: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0">
                <a:solidFill>
                  <a:schemeClr val="accent1"/>
                </a:solidFill>
              </a:ln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0"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0"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0">
                    <a:solidFill>
                      <a:schemeClr val="accent1"/>
                    </a:solidFill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 Revenue'!$B$8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0">
                      <a:solidFill>
                        <a:schemeClr val="accent1"/>
                      </a:solidFill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Revenue'!$A$9:$A$14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'PVT Revenue'!$B$9:$B$14</c:f>
              <c:numCache>
                <c:formatCode>0.00</c:formatCode>
                <c:ptCount val="5"/>
                <c:pt idx="0">
                  <c:v>157528.99503945635</c:v>
                </c:pt>
                <c:pt idx="1">
                  <c:v>125467.41860530026</c:v>
                </c:pt>
                <c:pt idx="2">
                  <c:v>97795.979638162171</c:v>
                </c:pt>
                <c:pt idx="3">
                  <c:v>86468.961798802658</c:v>
                </c:pt>
                <c:pt idx="4">
                  <c:v>110343.46365628684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A-4692-ABE5-4F2C221383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6474304"/>
        <c:axId val="600122768"/>
      </c:barChart>
      <c:catAx>
        <c:axId val="59647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 cap="sq"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22768"/>
        <c:crosses val="autoZero"/>
        <c:auto val="1"/>
        <c:lblAlgn val="ctr"/>
        <c:lblOffset val="100"/>
        <c:noMultiLvlLbl val="0"/>
      </c:catAx>
      <c:valAx>
        <c:axId val="600122768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59647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0">
            <a:solidFill>
              <a:schemeClr val="accent1"/>
            </a:solidFill>
          </a:ln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Revenue!PivotTable2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ln w="0">
                  <a:solidFill>
                    <a:schemeClr val="accent1"/>
                  </a:solidFill>
                </a:ln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ln w="0">
                <a:solidFill>
                  <a:schemeClr val="accent1"/>
                </a:solidFill>
              </a:ln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 w="0"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 w="0"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ln w="0">
                    <a:solidFill>
                      <a:schemeClr val="accent1"/>
                    </a:solidFill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 Revenue'!$E$8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ln w="0">
                      <a:solidFill>
                        <a:schemeClr val="accent1"/>
                      </a:solidFill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Revenue'!$D$9:$D$12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'PVT Revenue'!$E$9:$E$12</c:f>
              <c:numCache>
                <c:formatCode>0.00</c:formatCode>
                <c:ptCount val="3"/>
                <c:pt idx="0">
                  <c:v>161521.26599948306</c:v>
                </c:pt>
                <c:pt idx="1">
                  <c:v>174455.39060546222</c:v>
                </c:pt>
                <c:pt idx="2">
                  <c:v>241628.16213306302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0-4A4A-9CE6-ED1F86B508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6217792"/>
        <c:axId val="600003248"/>
      </c:barChart>
      <c:catAx>
        <c:axId val="60621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03248"/>
        <c:crosses val="autoZero"/>
        <c:auto val="1"/>
        <c:lblAlgn val="ctr"/>
        <c:lblOffset val="100"/>
        <c:noMultiLvlLbl val="0"/>
      </c:catAx>
      <c:valAx>
        <c:axId val="6000032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0621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ln w="0">
            <a:solidFill>
              <a:schemeClr val="accent1"/>
            </a:solidFill>
          </a:ln>
          <a:solidFill>
            <a:schemeClr val="accen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Revenue!PivotTable3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Product Profit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'PVT Revenue'!$E$16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A1-4B38-9393-1F19229F54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A1-4B38-9393-1F19229F54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A1-4B38-9393-1F19229F54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'PVT Revenue'!$D$17:$D$20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'PVT Revenue'!$E$17:$E$20</c:f>
              <c:numCache>
                <c:formatCode>0.00%</c:formatCode>
                <c:ptCount val="3"/>
                <c:pt idx="0">
                  <c:v>0.28278453119471514</c:v>
                </c:pt>
                <c:pt idx="1">
                  <c:v>0.29895738168215286</c:v>
                </c:pt>
                <c:pt idx="2">
                  <c:v>0.41825808712313201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A1-4B38-9393-1F19229F54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1" i="1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Revenue!PivotTable4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Supplier Profit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'PVT Revenue'!$E$23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D0-4D5E-A12E-69B1846D95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D0-4D5E-A12E-69B1846D95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D0-4D5E-A12E-69B1846D95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D0-4D5E-A12E-69B1846D95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D0-4D5E-A12E-69B1846D95A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'PVT Revenue'!$D$24:$D$29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'PVT Revenue'!$E$24:$E$29</c:f>
              <c:numCache>
                <c:formatCode>0.00%</c:formatCode>
                <c:ptCount val="5"/>
                <c:pt idx="0">
                  <c:v>0.27076946509205707</c:v>
                </c:pt>
                <c:pt idx="1">
                  <c:v>0.21774188079611914</c:v>
                </c:pt>
                <c:pt idx="2">
                  <c:v>0.17334973109877211</c:v>
                </c:pt>
                <c:pt idx="3">
                  <c:v>0.14602254234433626</c:v>
                </c:pt>
                <c:pt idx="4">
                  <c:v>0.19211638066871542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D0-4D5E-A12E-69B1846D95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Inventory!PivotTable5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accent1"/>
                </a:solidFill>
              </a:rPr>
              <a:t>Units</a:t>
            </a:r>
            <a:r>
              <a:rPr lang="en-US" b="1" i="1" baseline="0">
                <a:solidFill>
                  <a:schemeClr val="accent1"/>
                </a:solidFill>
              </a:rPr>
              <a:t> Sold By Product</a:t>
            </a:r>
            <a:endParaRPr lang="en-US" b="1" i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'PVT Inventory'!$B$1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Inventory'!$A$2:$A$5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'PVT Inventory'!$B$2:$B$5</c:f>
              <c:numCache>
                <c:formatCode>General</c:formatCode>
                <c:ptCount val="3"/>
                <c:pt idx="0">
                  <c:v>11757</c:v>
                </c:pt>
                <c:pt idx="1">
                  <c:v>13611</c:v>
                </c:pt>
                <c:pt idx="2">
                  <c:v>20731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0-469C-B535-0DCDB70B46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0748912"/>
        <c:axId val="600029168"/>
      </c:barChart>
      <c:catAx>
        <c:axId val="660748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29168"/>
        <c:crosses val="autoZero"/>
        <c:auto val="1"/>
        <c:lblAlgn val="ctr"/>
        <c:lblOffset val="100"/>
        <c:noMultiLvlLbl val="0"/>
      </c:catAx>
      <c:valAx>
        <c:axId val="600029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074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Inventory!PivotTable6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Units Sold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'PVT Inventory'!$E$1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Inventory'!$D$2:$D$7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'PVT Inventory'!$E$2:$E$7</c:f>
              <c:numCache>
                <c:formatCode>General</c:formatCode>
                <c:ptCount val="5"/>
                <c:pt idx="0">
                  <c:v>11080</c:v>
                </c:pt>
                <c:pt idx="1">
                  <c:v>11068</c:v>
                </c:pt>
                <c:pt idx="2">
                  <c:v>8083</c:v>
                </c:pt>
                <c:pt idx="3">
                  <c:v>7206</c:v>
                </c:pt>
                <c:pt idx="4">
                  <c:v>8662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7-481E-817B-B215634E6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60658432"/>
        <c:axId val="600077648"/>
      </c:barChart>
      <c:catAx>
        <c:axId val="660658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77648"/>
        <c:crosses val="autoZero"/>
        <c:auto val="1"/>
        <c:lblAlgn val="ctr"/>
        <c:lblOffset val="100"/>
        <c:noMultiLvlLbl val="0"/>
      </c:catAx>
      <c:valAx>
        <c:axId val="600077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065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1" i="1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Inventory!PivotTable7</c:name>
    <c:fmtId val="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 </a:t>
            </a:r>
            <a:r>
              <a:rPr lang="en-AU" b="1">
                <a:solidFill>
                  <a:schemeClr val="accent1"/>
                </a:solidFill>
              </a:rPr>
              <a:t>Units</a:t>
            </a:r>
            <a:r>
              <a:rPr lang="en-AU" b="1" baseline="0">
                <a:solidFill>
                  <a:schemeClr val="accent1"/>
                </a:solidFill>
              </a:rPr>
              <a:t> Vs Sales to Stock Ratio By Product</a:t>
            </a:r>
            <a:endParaRPr lang="en-AU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 Inventory'!$B$14</c:f>
              <c:strCache>
                <c:ptCount val="1"/>
                <c:pt idx="0">
                  <c:v>Average of Number of products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Inventory'!$A$15:$A$18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'PVT Inventory'!$B$15:$B$18</c:f>
              <c:numCache>
                <c:formatCode>General</c:formatCode>
                <c:ptCount val="3"/>
                <c:pt idx="0">
                  <c:v>452.19230769230768</c:v>
                </c:pt>
                <c:pt idx="1">
                  <c:v>400.3235294117647</c:v>
                </c:pt>
                <c:pt idx="2">
                  <c:v>518.27499999999998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8-4A26-86E0-F4C0C1A983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60734528"/>
        <c:axId val="600043088"/>
      </c:barChart>
      <c:lineChart>
        <c:grouping val="standard"/>
        <c:varyColors val="0"/>
        <c:ser>
          <c:idx val="1"/>
          <c:order val="1"/>
          <c:tx>
            <c:strRef>
              <c:f>'PVT Inventory'!$C$14</c:f>
              <c:strCache>
                <c:ptCount val="1"/>
                <c:pt idx="0">
                  <c:v>Average of Sales To Stock Ratio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Inventory'!$A$15:$A$18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'PVT Inventory'!$C$15:$C$18</c:f>
              <c:numCache>
                <c:formatCode>General</c:formatCode>
                <c:ptCount val="3"/>
                <c:pt idx="0">
                  <c:v>16.593000659667918</c:v>
                </c:pt>
                <c:pt idx="1">
                  <c:v>17.982246732281833</c:v>
                </c:pt>
                <c:pt idx="2">
                  <c:v>45.416858294029758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98-4A26-86E0-F4C0C1A983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0750768"/>
        <c:axId val="600041168"/>
      </c:lineChart>
      <c:catAx>
        <c:axId val="66073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43088"/>
        <c:crosses val="autoZero"/>
        <c:auto val="1"/>
        <c:lblAlgn val="ctr"/>
        <c:lblOffset val="100"/>
        <c:noMultiLvlLbl val="0"/>
      </c:catAx>
      <c:valAx>
        <c:axId val="60004308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34528"/>
        <c:crosses val="autoZero"/>
        <c:crossBetween val="between"/>
      </c:valAx>
      <c:valAx>
        <c:axId val="6000411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b="1" i="1"/>
                  <a:t>Avg</a:t>
                </a:r>
                <a:r>
                  <a:rPr lang="en-AU" b="1" i="1" baseline="0"/>
                  <a:t> Sales to Stock ratio</a:t>
                </a:r>
              </a:p>
              <a:p>
                <a:pPr>
                  <a:defRPr b="1" i="1"/>
                </a:pPr>
                <a:endParaRPr lang="en-AU" b="1" i="1"/>
              </a:p>
            </c:rich>
          </c:tx>
          <c:layout>
            <c:manualLayout>
              <c:xMode val="edge"/>
              <c:yMode val="edge"/>
              <c:x val="0.91145833333333337"/>
              <c:y val="0.110881542699724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50768"/>
        <c:crosses val="max"/>
        <c:crossBetween val="between"/>
      </c:valAx>
      <c:catAx>
        <c:axId val="66075076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0004116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Inventory!PivotTable8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b="1">
                <a:solidFill>
                  <a:schemeClr val="accent1"/>
                </a:solidFill>
              </a:rPr>
              <a:t>Units</a:t>
            </a:r>
            <a:r>
              <a:rPr lang="en-AU" b="1" baseline="0">
                <a:solidFill>
                  <a:schemeClr val="accent1"/>
                </a:solidFill>
              </a:rPr>
              <a:t> Vs Sales to Stock Ratio By Supplier</a:t>
            </a:r>
            <a:endParaRPr lang="en-AU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9050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16100721784777"/>
          <c:y val="0.1969990639281978"/>
          <c:w val="0.73883899278215226"/>
          <c:h val="0.66482067800965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'PVT Inventory'!$F$13</c:f>
              <c:strCache>
                <c:ptCount val="1"/>
                <c:pt idx="0">
                  <c:v>Average of Number of products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Inventory'!$E$14:$E$19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'PVT Inventory'!$F$14:$F$19</c:f>
              <c:numCache>
                <c:formatCode>General</c:formatCode>
                <c:ptCount val="5"/>
                <c:pt idx="0">
                  <c:v>410.37037037037038</c:v>
                </c:pt>
                <c:pt idx="1">
                  <c:v>503.09090909090907</c:v>
                </c:pt>
                <c:pt idx="2">
                  <c:v>538.86666666666667</c:v>
                </c:pt>
                <c:pt idx="3">
                  <c:v>400.33333333333331</c:v>
                </c:pt>
                <c:pt idx="4">
                  <c:v>481.22222222222223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9-450A-8480-10ECED7F52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60728960"/>
        <c:axId val="600006608"/>
      </c:barChart>
      <c:lineChart>
        <c:grouping val="standard"/>
        <c:varyColors val="0"/>
        <c:ser>
          <c:idx val="1"/>
          <c:order val="1"/>
          <c:tx>
            <c:strRef>
              <c:f>'PVT Inventory'!$G$13</c:f>
              <c:strCache>
                <c:ptCount val="1"/>
                <c:pt idx="0">
                  <c:v>Average of Sales To Stock Ratio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Inventory'!$E$14:$E$19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'PVT Inventory'!$G$14:$G$19</c:f>
              <c:numCache>
                <c:formatCode>General</c:formatCode>
                <c:ptCount val="5"/>
                <c:pt idx="0">
                  <c:v>51.544210760657243</c:v>
                </c:pt>
                <c:pt idx="1">
                  <c:v>21.693346594146032</c:v>
                </c:pt>
                <c:pt idx="2">
                  <c:v>18.851109294810929</c:v>
                </c:pt>
                <c:pt idx="3">
                  <c:v>10.639172561718743</c:v>
                </c:pt>
                <c:pt idx="4">
                  <c:v>28.681648703782173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9-450A-8480-10ECED7F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751024"/>
        <c:axId val="1891505840"/>
      </c:lineChart>
      <c:catAx>
        <c:axId val="66072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06608"/>
        <c:crosses val="autoZero"/>
        <c:auto val="1"/>
        <c:lblAlgn val="ctr"/>
        <c:lblOffset val="100"/>
        <c:noMultiLvlLbl val="0"/>
      </c:catAx>
      <c:valAx>
        <c:axId val="600006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b="1" i="1"/>
                  <a:t>Avg</a:t>
                </a:r>
                <a:r>
                  <a:rPr lang="en-AU" b="1" i="1" baseline="0"/>
                  <a:t> Sold Units</a:t>
                </a:r>
              </a:p>
            </c:rich>
          </c:tx>
          <c:layout>
            <c:manualLayout>
              <c:xMode val="edge"/>
              <c:yMode val="edge"/>
              <c:x val="1.3020833333333334E-2"/>
              <c:y val="0.30918772828221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28960"/>
        <c:crosses val="autoZero"/>
        <c:crossBetween val="between"/>
      </c:valAx>
      <c:valAx>
        <c:axId val="1891505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751024"/>
        <c:crosses val="max"/>
        <c:crossBetween val="between"/>
      </c:valAx>
      <c:catAx>
        <c:axId val="1965751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15058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Tranportation!PivotTable9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 b="1" i="1">
                <a:solidFill>
                  <a:schemeClr val="accent1"/>
                </a:solidFill>
              </a:rPr>
              <a:t>Revenue</a:t>
            </a:r>
            <a:r>
              <a:rPr lang="en-AU" sz="1200" b="1" i="1" baseline="0">
                <a:solidFill>
                  <a:schemeClr val="accent1"/>
                </a:solidFill>
              </a:rPr>
              <a:t> Contribution By Transpot Mode</a:t>
            </a:r>
            <a:endParaRPr lang="en-AU" sz="1200" b="1" i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14795964295785344"/>
          <c:y val="6.12745098039215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'PVT Tranportation'!$B$1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06-4EBD-B6F8-11774743D2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06-4EBD-B6F8-11774743D2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06-4EBD-B6F8-11774743D2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06-4EBD-B6F8-11774743D2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'PVT Tranportation'!$A$2:$A$6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'PVT Tranportation'!$B$2:$B$6</c:f>
              <c:numCache>
                <c:formatCode>0.00%</c:formatCode>
                <c:ptCount val="4"/>
                <c:pt idx="0">
                  <c:v>0.26962266345098806</c:v>
                </c:pt>
                <c:pt idx="1">
                  <c:v>0.2856458469785898</c:v>
                </c:pt>
                <c:pt idx="2">
                  <c:v>0.27582046941215965</c:v>
                </c:pt>
                <c:pt idx="3">
                  <c:v>0.16891102015826243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06-4EBD-B6F8-11774743D2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Tranportation!PivotTable10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>
                <a:solidFill>
                  <a:schemeClr val="accent1"/>
                </a:solidFill>
              </a:rPr>
              <a:t>Avg Shipping Time(Hrs) By Transport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 Tranportation'!$E$1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Tranportation'!$D$2:$D$6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'PVT Tranportation'!$E$2:$E$6</c:f>
              <c:numCache>
                <c:formatCode>0.00</c:formatCode>
                <c:ptCount val="4"/>
                <c:pt idx="0">
                  <c:v>5.115384615384615</c:v>
                </c:pt>
                <c:pt idx="1">
                  <c:v>6.5714285714285712</c:v>
                </c:pt>
                <c:pt idx="2">
                  <c:v>4.7241379310344831</c:v>
                </c:pt>
                <c:pt idx="3">
                  <c:v>7.117647058823529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9-45EA-9009-CCE1C576AE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2877408"/>
        <c:axId val="600041168"/>
      </c:barChart>
      <c:catAx>
        <c:axId val="38287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41168"/>
        <c:crosses val="autoZero"/>
        <c:auto val="1"/>
        <c:lblAlgn val="ctr"/>
        <c:lblOffset val="100"/>
        <c:noMultiLvlLbl val="0"/>
      </c:catAx>
      <c:valAx>
        <c:axId val="60004116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38287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Tranportation!PivotTable11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Avg Defect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'PVT Tranportation'!$H$1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Tranportation'!$G$2:$G$6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'PVT Tranportation'!$H$2:$H$6</c:f>
              <c:numCache>
                <c:formatCode>0.00</c:formatCode>
                <c:ptCount val="4"/>
                <c:pt idx="0">
                  <c:v>1.8239235457132916</c:v>
                </c:pt>
                <c:pt idx="1">
                  <c:v>2.3188139085148154</c:v>
                </c:pt>
                <c:pt idx="2">
                  <c:v>2.6209384707029098</c:v>
                </c:pt>
                <c:pt idx="3">
                  <c:v>2.3152812939185772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F-4BA8-8F46-4092D1530E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0690912"/>
        <c:axId val="600012368"/>
      </c:barChart>
      <c:catAx>
        <c:axId val="66069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12368"/>
        <c:crosses val="autoZero"/>
        <c:auto val="1"/>
        <c:lblAlgn val="ctr"/>
        <c:lblOffset val="100"/>
        <c:noMultiLvlLbl val="0"/>
      </c:catAx>
      <c:valAx>
        <c:axId val="600012368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66069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Tranportation!PivotTable14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Inspection Pass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 Tranportation'!$E$11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44-4638-A46D-4B2A8381022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44-4638-A46D-4B2A8381022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44-4638-A46D-4B2A8381022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44-4638-A46D-4B2A838102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Tranportation'!$D$12:$D$16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'PVT Tranportation'!$E$12:$E$16</c:f>
              <c:numCache>
                <c:formatCode>0.00%</c:formatCode>
                <c:ptCount val="4"/>
                <c:pt idx="0">
                  <c:v>0.19230769230769232</c:v>
                </c:pt>
                <c:pt idx="1">
                  <c:v>0.25</c:v>
                </c:pt>
                <c:pt idx="2">
                  <c:v>0.2413793103448276</c:v>
                </c:pt>
                <c:pt idx="3">
                  <c:v>0.23529411764705882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44-4638-A46D-4B2A8381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82878336"/>
        <c:axId val="600021488"/>
      </c:barChart>
      <c:catAx>
        <c:axId val="38287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21488"/>
        <c:crosses val="autoZero"/>
        <c:auto val="1"/>
        <c:lblAlgn val="ctr"/>
        <c:lblOffset val="100"/>
        <c:noMultiLvlLbl val="0"/>
      </c:catAx>
      <c:valAx>
        <c:axId val="600021488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38287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 Dashboard Copy.xlsx]PVT Tranportation!PivotTable15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1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accent1"/>
                </a:solidFill>
              </a:rPr>
              <a:t>Avg Shipping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1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'PVT Tranportation'!$H$11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 Tranportation'!$G$12:$G$16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'PVT Tranportation'!$H$12:$H$16</c:f>
              <c:numCache>
                <c:formatCode>"$"#,##0.00</c:formatCode>
                <c:ptCount val="4"/>
                <c:pt idx="0">
                  <c:v>6.0178393777286159</c:v>
                </c:pt>
                <c:pt idx="1">
                  <c:v>5.4690979361028562</c:v>
                </c:pt>
                <c:pt idx="2">
                  <c:v>5.542115390045792</c:v>
                </c:pt>
                <c:pt idx="3">
                  <c:v>4.9702938152238989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F-403E-9F81-ADF06B285F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06191808"/>
        <c:axId val="600020048"/>
      </c:barChart>
      <c:catAx>
        <c:axId val="606191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20048"/>
        <c:crosses val="autoZero"/>
        <c:auto val="1"/>
        <c:lblAlgn val="ctr"/>
        <c:lblOffset val="100"/>
        <c:noMultiLvlLbl val="0"/>
      </c:catAx>
      <c:valAx>
        <c:axId val="600020048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60619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1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2</xdr:row>
      <xdr:rowOff>45720</xdr:rowOff>
    </xdr:from>
    <xdr:to>
      <xdr:col>22</xdr:col>
      <xdr:colOff>358140</xdr:colOff>
      <xdr:row>29</xdr:row>
      <xdr:rowOff>53340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D04618EE-D43E-E1F6-2C6C-49775C6AB5A5}"/>
            </a:ext>
          </a:extLst>
        </xdr:cNvPr>
        <xdr:cNvSpPr/>
      </xdr:nvSpPr>
      <xdr:spPr>
        <a:xfrm>
          <a:off x="2385060" y="381000"/>
          <a:ext cx="11384280" cy="45339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137160</xdr:colOff>
      <xdr:row>2</xdr:row>
      <xdr:rowOff>114300</xdr:rowOff>
    </xdr:from>
    <xdr:to>
      <xdr:col>3</xdr:col>
      <xdr:colOff>533400</xdr:colOff>
      <xdr:row>28</xdr:row>
      <xdr:rowOff>114300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BB7CF03-B485-30E6-2B57-23A1A00F57A1}"/>
            </a:ext>
          </a:extLst>
        </xdr:cNvPr>
        <xdr:cNvSpPr/>
      </xdr:nvSpPr>
      <xdr:spPr>
        <a:xfrm>
          <a:off x="137160" y="449580"/>
          <a:ext cx="2225040" cy="43586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220980</xdr:colOff>
      <xdr:row>3</xdr:row>
      <xdr:rowOff>129540</xdr:rowOff>
    </xdr:from>
    <xdr:to>
      <xdr:col>13</xdr:col>
      <xdr:colOff>381000</xdr:colOff>
      <xdr:row>15</xdr:row>
      <xdr:rowOff>107198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77765-DE9C-4E06-AF3D-01A25E048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259080</xdr:colOff>
      <xdr:row>16</xdr:row>
      <xdr:rowOff>30480</xdr:rowOff>
    </xdr:from>
    <xdr:to>
      <xdr:col>13</xdr:col>
      <xdr:colOff>396240</xdr:colOff>
      <xdr:row>28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DEB2D9-82D0-4881-8D8A-2B932948D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528581</xdr:colOff>
      <xdr:row>16</xdr:row>
      <xdr:rowOff>30480</xdr:rowOff>
    </xdr:from>
    <xdr:to>
      <xdr:col>22</xdr:col>
      <xdr:colOff>99060</xdr:colOff>
      <xdr:row>28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582E1C-1600-4BC3-A85C-7C93F7CA5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525780</xdr:colOff>
      <xdr:row>3</xdr:row>
      <xdr:rowOff>129540</xdr:rowOff>
    </xdr:from>
    <xdr:to>
      <xdr:col>22</xdr:col>
      <xdr:colOff>83820</xdr:colOff>
      <xdr:row>15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86FE10-ABAD-4B22-8B75-D509E547D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358140</xdr:colOff>
      <xdr:row>6</xdr:row>
      <xdr:rowOff>0</xdr:rowOff>
    </xdr:from>
    <xdr:to>
      <xdr:col>3</xdr:col>
      <xdr:colOff>281940</xdr:colOff>
      <xdr:row>9</xdr:row>
      <xdr:rowOff>22860</xdr:rowOff>
    </xdr:to>
    <xdr:sp macro="" textlink="'PVT Revenue'!B1">
      <xdr:nvSpPr>
        <xdr:cNvPr id="6" name="Rectangle: Rounded Corners 5">
          <a:extLst>
            <a:ext uri="{FF2B5EF4-FFF2-40B4-BE49-F238E27FC236}">
              <a16:creationId xmlns:a16="http://schemas.microsoft.com/office/drawing/2014/main" id="{35968E75-8E0F-E45B-34C8-7E22D9BCC6A9}"/>
            </a:ext>
          </a:extLst>
        </xdr:cNvPr>
        <xdr:cNvSpPr/>
      </xdr:nvSpPr>
      <xdr:spPr>
        <a:xfrm>
          <a:off x="358140" y="1005840"/>
          <a:ext cx="1752600" cy="52578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Total Revenue</a:t>
          </a:r>
        </a:p>
        <a:p>
          <a:pPr algn="ctr"/>
          <a:fld id="{AE44DEDC-40ED-4FE5-B5DF-2DAD368E714E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$577,604.82 </a:t>
          </a:fld>
          <a:endParaRPr lang="en-AU" sz="1100" b="1"/>
        </a:p>
      </xdr:txBody>
    </xdr:sp>
    <xdr:clientData/>
  </xdr:twoCellAnchor>
  <xdr:twoCellAnchor>
    <xdr:from>
      <xdr:col>0</xdr:col>
      <xdr:colOff>350520</xdr:colOff>
      <xdr:row>10</xdr:row>
      <xdr:rowOff>102870</xdr:rowOff>
    </xdr:from>
    <xdr:to>
      <xdr:col>3</xdr:col>
      <xdr:colOff>274320</xdr:colOff>
      <xdr:row>13</xdr:row>
      <xdr:rowOff>125730</xdr:rowOff>
    </xdr:to>
    <xdr:sp macro="" textlink="'PVT Revenue'!B2">
      <xdr:nvSpPr>
        <xdr:cNvPr id="7" name="Rectangle: Rounded Corners 6">
          <a:extLst>
            <a:ext uri="{FF2B5EF4-FFF2-40B4-BE49-F238E27FC236}">
              <a16:creationId xmlns:a16="http://schemas.microsoft.com/office/drawing/2014/main" id="{ED8630C7-E317-4831-A661-C88889E2C2BB}"/>
            </a:ext>
          </a:extLst>
        </xdr:cNvPr>
        <xdr:cNvSpPr/>
      </xdr:nvSpPr>
      <xdr:spPr>
        <a:xfrm>
          <a:off x="350520" y="1779270"/>
          <a:ext cx="1752600" cy="52578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Estimated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Profit</a:t>
          </a:r>
        </a:p>
        <a:p>
          <a:pPr algn="ctr"/>
          <a:fld id="{F7CA1B98-04F2-4BC5-8FC4-15B9E561B85B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$519,398.76 </a:t>
          </a:fld>
          <a:endParaRPr lang="en-AU" sz="1100" b="1"/>
        </a:p>
      </xdr:txBody>
    </xdr:sp>
    <xdr:clientData/>
  </xdr:twoCellAnchor>
  <xdr:twoCellAnchor>
    <xdr:from>
      <xdr:col>0</xdr:col>
      <xdr:colOff>350520</xdr:colOff>
      <xdr:row>15</xdr:row>
      <xdr:rowOff>38100</xdr:rowOff>
    </xdr:from>
    <xdr:to>
      <xdr:col>3</xdr:col>
      <xdr:colOff>274320</xdr:colOff>
      <xdr:row>18</xdr:row>
      <xdr:rowOff>60960</xdr:rowOff>
    </xdr:to>
    <xdr:sp macro="" textlink="'PVT Revenue'!B3">
      <xdr:nvSpPr>
        <xdr:cNvPr id="8" name="Rectangle: Rounded Corners 7">
          <a:extLst>
            <a:ext uri="{FF2B5EF4-FFF2-40B4-BE49-F238E27FC236}">
              <a16:creationId xmlns:a16="http://schemas.microsoft.com/office/drawing/2014/main" id="{46F64793-7B5C-427C-A810-5B900884D20A}"/>
            </a:ext>
          </a:extLst>
        </xdr:cNvPr>
        <xdr:cNvSpPr/>
      </xdr:nvSpPr>
      <xdr:spPr>
        <a:xfrm>
          <a:off x="350520" y="2552700"/>
          <a:ext cx="1752600" cy="52578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Profit Margin</a:t>
          </a:r>
        </a:p>
        <a:p>
          <a:pPr algn="ctr"/>
          <a:fld id="{A48F039E-AC80-47AA-8F19-FF2DE4AEE4A6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89.92</a:t>
          </a:fld>
          <a:endParaRPr lang="en-AU" sz="1100" b="1"/>
        </a:p>
      </xdr:txBody>
    </xdr:sp>
    <xdr:clientData/>
  </xdr:twoCellAnchor>
  <xdr:twoCellAnchor>
    <xdr:from>
      <xdr:col>0</xdr:col>
      <xdr:colOff>350520</xdr:colOff>
      <xdr:row>19</xdr:row>
      <xdr:rowOff>140970</xdr:rowOff>
    </xdr:from>
    <xdr:to>
      <xdr:col>3</xdr:col>
      <xdr:colOff>274320</xdr:colOff>
      <xdr:row>22</xdr:row>
      <xdr:rowOff>163830</xdr:rowOff>
    </xdr:to>
    <xdr:sp macro="" textlink="'PVT Revenue'!B4">
      <xdr:nvSpPr>
        <xdr:cNvPr id="9" name="Rectangle: Rounded Corners 8">
          <a:extLst>
            <a:ext uri="{FF2B5EF4-FFF2-40B4-BE49-F238E27FC236}">
              <a16:creationId xmlns:a16="http://schemas.microsoft.com/office/drawing/2014/main" id="{CD58FF50-C396-4613-A67C-B163174CB4F5}"/>
            </a:ext>
          </a:extLst>
        </xdr:cNvPr>
        <xdr:cNvSpPr/>
      </xdr:nvSpPr>
      <xdr:spPr>
        <a:xfrm>
          <a:off x="350520" y="3326130"/>
          <a:ext cx="1752600" cy="52578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Avg Defect Rate</a:t>
          </a:r>
        </a:p>
        <a:p>
          <a:pPr algn="ctr"/>
          <a:fld id="{F402CFD6-1BF9-42C7-9BC1-C560B9DACA6C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2.28</a:t>
          </a:fld>
          <a:endParaRPr lang="en-AU" sz="1100" b="1"/>
        </a:p>
      </xdr:txBody>
    </xdr:sp>
    <xdr:clientData/>
  </xdr:twoCellAnchor>
  <xdr:twoCellAnchor>
    <xdr:from>
      <xdr:col>0</xdr:col>
      <xdr:colOff>358140</xdr:colOff>
      <xdr:row>24</xdr:row>
      <xdr:rowOff>76200</xdr:rowOff>
    </xdr:from>
    <xdr:to>
      <xdr:col>3</xdr:col>
      <xdr:colOff>281940</xdr:colOff>
      <xdr:row>27</xdr:row>
      <xdr:rowOff>99060</xdr:rowOff>
    </xdr:to>
    <xdr:sp macro="" textlink="'PVT Revenue'!B5">
      <xdr:nvSpPr>
        <xdr:cNvPr id="10" name="Rectangle: Rounded Corners 9">
          <a:extLst>
            <a:ext uri="{FF2B5EF4-FFF2-40B4-BE49-F238E27FC236}">
              <a16:creationId xmlns:a16="http://schemas.microsoft.com/office/drawing/2014/main" id="{4A683EFD-20B7-4A73-A747-8604248A8006}"/>
            </a:ext>
          </a:extLst>
        </xdr:cNvPr>
        <xdr:cNvSpPr/>
      </xdr:nvSpPr>
      <xdr:spPr>
        <a:xfrm>
          <a:off x="358140" y="4099560"/>
          <a:ext cx="1752600" cy="52578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Avg Lead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Time</a:t>
          </a:r>
        </a:p>
        <a:p>
          <a:pPr algn="ctr"/>
          <a:fld id="{F056CD95-D417-488D-9549-110028694D0F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17</a:t>
          </a:fld>
          <a:endParaRPr lang="en-AU" sz="1100" b="1"/>
        </a:p>
      </xdr:txBody>
    </xdr:sp>
    <xdr:clientData/>
  </xdr:twoCellAnchor>
  <xdr:twoCellAnchor>
    <xdr:from>
      <xdr:col>5</xdr:col>
      <xdr:colOff>541020</xdr:colOff>
      <xdr:row>0</xdr:row>
      <xdr:rowOff>0</xdr:rowOff>
    </xdr:from>
    <xdr:to>
      <xdr:col>19</xdr:col>
      <xdr:colOff>68580</xdr:colOff>
      <xdr:row>2</xdr:row>
      <xdr:rowOff>30480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A95DD4-5D0E-7217-DE1C-B0B62F7F5EC9}"/>
            </a:ext>
          </a:extLst>
        </xdr:cNvPr>
        <xdr:cNvSpPr txBox="1"/>
      </xdr:nvSpPr>
      <xdr:spPr>
        <a:xfrm>
          <a:off x="3589020" y="0"/>
          <a:ext cx="8061960" cy="365760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AU" sz="1400" b="1" i="1" u="sng">
              <a:solidFill>
                <a:schemeClr val="accent3">
                  <a:lumMod val="20000"/>
                  <a:lumOff val="80000"/>
                </a:schemeClr>
              </a:solidFill>
            </a:rPr>
            <a:t>Supply Chain Performamnce</a:t>
          </a:r>
          <a:r>
            <a:rPr lang="en-AU" sz="1400" b="1" i="1" u="sng" baseline="0">
              <a:solidFill>
                <a:schemeClr val="accent3">
                  <a:lumMod val="20000"/>
                  <a:lumOff val="80000"/>
                </a:schemeClr>
              </a:solidFill>
            </a:rPr>
            <a:t> DashBoard - </a:t>
          </a:r>
          <a:r>
            <a:rPr lang="en-AU" sz="1400" b="1" i="1" u="sng">
              <a:solidFill>
                <a:schemeClr val="accent3">
                  <a:lumMod val="20000"/>
                  <a:lumOff val="80000"/>
                </a:schemeClr>
              </a:solidFill>
            </a:rPr>
            <a:t>Executive</a:t>
          </a:r>
          <a:r>
            <a:rPr lang="en-AU" sz="1400" b="1" i="1" u="sng" baseline="0">
              <a:solidFill>
                <a:schemeClr val="accent3">
                  <a:lumMod val="20000"/>
                  <a:lumOff val="80000"/>
                </a:schemeClr>
              </a:solidFill>
            </a:rPr>
            <a:t> Revenue And Profitability</a:t>
          </a:r>
          <a:endParaRPr lang="en-AU" sz="1400" b="1" i="1" u="sng">
            <a:solidFill>
              <a:schemeClr val="accent3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0</xdr:col>
      <xdr:colOff>449580</xdr:colOff>
      <xdr:row>4</xdr:row>
      <xdr:rowOff>7620</xdr:rowOff>
    </xdr:from>
    <xdr:to>
      <xdr:col>3</xdr:col>
      <xdr:colOff>152400</xdr:colOff>
      <xdr:row>5</xdr:row>
      <xdr:rowOff>83820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DD73424-52DC-3DEB-1E57-F16266BE4608}"/>
            </a:ext>
          </a:extLst>
        </xdr:cNvPr>
        <xdr:cNvSpPr txBox="1"/>
      </xdr:nvSpPr>
      <xdr:spPr>
        <a:xfrm>
          <a:off x="449580" y="678180"/>
          <a:ext cx="153162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U" sz="1100" b="1" i="1" u="sng">
              <a:solidFill>
                <a:schemeClr val="accent1"/>
              </a:solidFill>
            </a:rPr>
            <a:t>Revenue KPIs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1</xdr:row>
      <xdr:rowOff>129540</xdr:rowOff>
    </xdr:from>
    <xdr:to>
      <xdr:col>22</xdr:col>
      <xdr:colOff>38100</xdr:colOff>
      <xdr:row>29</xdr:row>
      <xdr:rowOff>15240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B45D980F-9D68-47E4-9F82-65161F8F6020}"/>
            </a:ext>
          </a:extLst>
        </xdr:cNvPr>
        <xdr:cNvSpPr/>
      </xdr:nvSpPr>
      <xdr:spPr>
        <a:xfrm>
          <a:off x="2567940" y="297180"/>
          <a:ext cx="10881360" cy="457962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297180</xdr:colOff>
      <xdr:row>2</xdr:row>
      <xdr:rowOff>121920</xdr:rowOff>
    </xdr:from>
    <xdr:to>
      <xdr:col>4</xdr:col>
      <xdr:colOff>83820</xdr:colOff>
      <xdr:row>28</xdr:row>
      <xdr:rowOff>121920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F3857D2-3FD9-4F9B-8B90-0305EE2CBC94}"/>
            </a:ext>
          </a:extLst>
        </xdr:cNvPr>
        <xdr:cNvSpPr/>
      </xdr:nvSpPr>
      <xdr:spPr>
        <a:xfrm>
          <a:off x="297180" y="457200"/>
          <a:ext cx="2225040" cy="43586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480060</xdr:colOff>
      <xdr:row>2</xdr:row>
      <xdr:rowOff>144780</xdr:rowOff>
    </xdr:from>
    <xdr:to>
      <xdr:col>12</xdr:col>
      <xdr:colOff>480060</xdr:colOff>
      <xdr:row>13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25D8B-4BC1-41E8-9843-58AA5A9E8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480060</xdr:colOff>
      <xdr:row>15</xdr:row>
      <xdr:rowOff>22860</xdr:rowOff>
    </xdr:from>
    <xdr:to>
      <xdr:col>12</xdr:col>
      <xdr:colOff>480060</xdr:colOff>
      <xdr:row>28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09F95B-67B8-4513-BB93-7185F3CF6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160020</xdr:colOff>
      <xdr:row>2</xdr:row>
      <xdr:rowOff>144780</xdr:rowOff>
    </xdr:from>
    <xdr:to>
      <xdr:col>21</xdr:col>
      <xdr:colOff>160020</xdr:colOff>
      <xdr:row>13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6D1ED3-F595-465A-976B-DA1087A5D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175260</xdr:colOff>
      <xdr:row>14</xdr:row>
      <xdr:rowOff>144780</xdr:rowOff>
    </xdr:from>
    <xdr:to>
      <xdr:col>21</xdr:col>
      <xdr:colOff>175260</xdr:colOff>
      <xdr:row>27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5B2A5D-7A1B-4FD2-B2DA-F066A2B06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76200</xdr:colOff>
      <xdr:row>0</xdr:row>
      <xdr:rowOff>0</xdr:rowOff>
    </xdr:from>
    <xdr:to>
      <xdr:col>17</xdr:col>
      <xdr:colOff>152400</xdr:colOff>
      <xdr:row>1</xdr:row>
      <xdr:rowOff>121920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34308C9-52CC-34B7-868D-19B90C10D844}"/>
            </a:ext>
          </a:extLst>
        </xdr:cNvPr>
        <xdr:cNvSpPr txBox="1"/>
      </xdr:nvSpPr>
      <xdr:spPr>
        <a:xfrm>
          <a:off x="3733800" y="0"/>
          <a:ext cx="678180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400" b="1" i="1" u="sng">
              <a:solidFill>
                <a:schemeClr val="accent3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Supply Chain Performamnce</a:t>
          </a:r>
          <a:r>
            <a:rPr lang="en-AU" sz="1400" b="1" i="1" u="sng" baseline="0">
              <a:solidFill>
                <a:schemeClr val="accent3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 DashBoard - Inventory Analysis</a:t>
          </a:r>
          <a:endParaRPr lang="en-AU" sz="1400">
            <a:solidFill>
              <a:schemeClr val="accent3">
                <a:lumMod val="20000"/>
                <a:lumOff val="8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480060</xdr:colOff>
      <xdr:row>6</xdr:row>
      <xdr:rowOff>68580</xdr:rowOff>
    </xdr:from>
    <xdr:to>
      <xdr:col>3</xdr:col>
      <xdr:colOff>501009</xdr:colOff>
      <xdr:row>10</xdr:row>
      <xdr:rowOff>15240</xdr:rowOff>
    </xdr:to>
    <xdr:sp macro="" textlink="'PVT Inventory'!B23">
      <xdr:nvSpPr>
        <xdr:cNvPr id="7" name="Rectangle: Rounded Corners 6">
          <a:extLst>
            <a:ext uri="{FF2B5EF4-FFF2-40B4-BE49-F238E27FC236}">
              <a16:creationId xmlns:a16="http://schemas.microsoft.com/office/drawing/2014/main" id="{55A9053C-5D2D-4D2E-B02B-C18049303878}"/>
            </a:ext>
          </a:extLst>
        </xdr:cNvPr>
        <xdr:cNvSpPr/>
      </xdr:nvSpPr>
      <xdr:spPr>
        <a:xfrm>
          <a:off x="480060" y="1074420"/>
          <a:ext cx="1849749" cy="61722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Avg Inventory Levels</a:t>
          </a:r>
          <a:b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fld id="{694E4D43-EDA2-4ECB-8A94-ABB6A6121CEB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48</a:t>
          </a:fld>
          <a:endParaRPr lang="en-AU" sz="1100" b="1"/>
        </a:p>
      </xdr:txBody>
    </xdr:sp>
    <xdr:clientData/>
  </xdr:twoCellAnchor>
  <xdr:twoCellAnchor>
    <xdr:from>
      <xdr:col>0</xdr:col>
      <xdr:colOff>495300</xdr:colOff>
      <xdr:row>11</xdr:row>
      <xdr:rowOff>149860</xdr:rowOff>
    </xdr:from>
    <xdr:to>
      <xdr:col>3</xdr:col>
      <xdr:colOff>516249</xdr:colOff>
      <xdr:row>15</xdr:row>
      <xdr:rowOff>96520</xdr:rowOff>
    </xdr:to>
    <xdr:sp macro="" textlink="'PVT Inventory'!B24">
      <xdr:nvSpPr>
        <xdr:cNvPr id="9" name="Rectangle: Rounded Corners 8">
          <a:extLst>
            <a:ext uri="{FF2B5EF4-FFF2-40B4-BE49-F238E27FC236}">
              <a16:creationId xmlns:a16="http://schemas.microsoft.com/office/drawing/2014/main" id="{F6331B3A-2867-4A97-84DC-1FD71BB0FE90}"/>
            </a:ext>
          </a:extLst>
        </xdr:cNvPr>
        <xdr:cNvSpPr/>
      </xdr:nvSpPr>
      <xdr:spPr>
        <a:xfrm>
          <a:off x="495300" y="1993900"/>
          <a:ext cx="1849749" cy="61722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Avg</a:t>
          </a:r>
          <a:r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Units</a:t>
          </a:r>
          <a:r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Sold</a:t>
          </a:r>
          <a:r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 </a:t>
          </a:r>
          <a:endParaRPr lang="en-US" sz="1000" b="1" i="0" u="none" strike="noStrike">
            <a:solidFill>
              <a:srgbClr val="000000"/>
            </a:solidFill>
            <a:latin typeface="Arial"/>
            <a:cs typeface="Arial"/>
          </a:endParaRPr>
        </a:p>
        <a:p>
          <a:pPr algn="ctr"/>
          <a:fld id="{A3C4352E-5101-4AB3-96F8-31B56F609526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461</a:t>
          </a:fld>
          <a:endParaRPr lang="en-AU" sz="1100" b="1"/>
        </a:p>
      </xdr:txBody>
    </xdr:sp>
    <xdr:clientData/>
  </xdr:twoCellAnchor>
  <xdr:twoCellAnchor>
    <xdr:from>
      <xdr:col>0</xdr:col>
      <xdr:colOff>487680</xdr:colOff>
      <xdr:row>17</xdr:row>
      <xdr:rowOff>33020</xdr:rowOff>
    </xdr:from>
    <xdr:to>
      <xdr:col>3</xdr:col>
      <xdr:colOff>502920</xdr:colOff>
      <xdr:row>20</xdr:row>
      <xdr:rowOff>147320</xdr:rowOff>
    </xdr:to>
    <xdr:sp macro="" textlink="'PVT Inventory'!B25">
      <xdr:nvSpPr>
        <xdr:cNvPr id="10" name="Rectangle: Rounded Corners 9">
          <a:extLst>
            <a:ext uri="{FF2B5EF4-FFF2-40B4-BE49-F238E27FC236}">
              <a16:creationId xmlns:a16="http://schemas.microsoft.com/office/drawing/2014/main" id="{F211CF1D-28C2-40E3-9BE6-54E155952917}"/>
            </a:ext>
          </a:extLst>
        </xdr:cNvPr>
        <xdr:cNvSpPr/>
      </xdr:nvSpPr>
      <xdr:spPr>
        <a:xfrm>
          <a:off x="487680" y="2882900"/>
          <a:ext cx="1844040" cy="61722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Avg Product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Availability</a:t>
          </a:r>
        </a:p>
        <a:p>
          <a:pPr algn="ctr"/>
          <a:fld id="{09255652-1B3B-404A-9B0A-BF424DB0090E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48.4</a:t>
          </a:fld>
          <a:endParaRPr lang="en-AU" sz="1100" b="1"/>
        </a:p>
      </xdr:txBody>
    </xdr:sp>
    <xdr:clientData/>
  </xdr:twoCellAnchor>
  <xdr:twoCellAnchor>
    <xdr:from>
      <xdr:col>0</xdr:col>
      <xdr:colOff>472440</xdr:colOff>
      <xdr:row>22</xdr:row>
      <xdr:rowOff>60960</xdr:rowOff>
    </xdr:from>
    <xdr:to>
      <xdr:col>3</xdr:col>
      <xdr:colOff>510516</xdr:colOff>
      <xdr:row>26</xdr:row>
      <xdr:rowOff>7620</xdr:rowOff>
    </xdr:to>
    <xdr:sp macro="" textlink="'PVT Inventory'!B26">
      <xdr:nvSpPr>
        <xdr:cNvPr id="11" name="Rectangle: Rounded Corners 10">
          <a:extLst>
            <a:ext uri="{FF2B5EF4-FFF2-40B4-BE49-F238E27FC236}">
              <a16:creationId xmlns:a16="http://schemas.microsoft.com/office/drawing/2014/main" id="{4DB0B619-EBF7-43C6-BA94-6A5B35026BD5}"/>
            </a:ext>
          </a:extLst>
        </xdr:cNvPr>
        <xdr:cNvSpPr/>
      </xdr:nvSpPr>
      <xdr:spPr>
        <a:xfrm>
          <a:off x="472440" y="3749040"/>
          <a:ext cx="1866876" cy="61722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Avg Order Qty</a:t>
          </a:r>
        </a:p>
        <a:p>
          <a:pPr algn="ctr"/>
          <a:fld id="{A07F5101-ED26-4D3E-B2C8-EE0511C30864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49.2</a:t>
          </a:fld>
          <a:endParaRPr lang="en-AU" sz="1100" b="1"/>
        </a:p>
      </xdr:txBody>
    </xdr:sp>
    <xdr:clientData/>
  </xdr:twoCellAnchor>
  <xdr:twoCellAnchor>
    <xdr:from>
      <xdr:col>0</xdr:col>
      <xdr:colOff>563880</xdr:colOff>
      <xdr:row>3</xdr:row>
      <xdr:rowOff>144780</xdr:rowOff>
    </xdr:from>
    <xdr:to>
      <xdr:col>3</xdr:col>
      <xdr:colOff>388620</xdr:colOff>
      <xdr:row>5</xdr:row>
      <xdr:rowOff>53340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731429B-519A-E4F8-364F-632564FFBF1C}"/>
            </a:ext>
          </a:extLst>
        </xdr:cNvPr>
        <xdr:cNvSpPr txBox="1"/>
      </xdr:nvSpPr>
      <xdr:spPr>
        <a:xfrm>
          <a:off x="563880" y="647700"/>
          <a:ext cx="165354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U" sz="1100" b="1" i="1" u="sng">
              <a:solidFill>
                <a:schemeClr val="accent1"/>
              </a:solidFill>
            </a:rPr>
            <a:t>Inventory KPIs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2</xdr:row>
      <xdr:rowOff>91440</xdr:rowOff>
    </xdr:from>
    <xdr:to>
      <xdr:col>22</xdr:col>
      <xdr:colOff>487680</xdr:colOff>
      <xdr:row>29</xdr:row>
      <xdr:rowOff>30480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B0D7207-94E7-0785-EA9B-722942A4E24E}"/>
            </a:ext>
          </a:extLst>
        </xdr:cNvPr>
        <xdr:cNvSpPr/>
      </xdr:nvSpPr>
      <xdr:spPr>
        <a:xfrm>
          <a:off x="1988820" y="426720"/>
          <a:ext cx="11910060" cy="446532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83820</xdr:colOff>
      <xdr:row>3</xdr:row>
      <xdr:rowOff>83820</xdr:rowOff>
    </xdr:from>
    <xdr:to>
      <xdr:col>3</xdr:col>
      <xdr:colOff>106680</xdr:colOff>
      <xdr:row>28</xdr:row>
      <xdr:rowOff>144780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2A08313-946C-9B84-9997-F9F868B3B870}"/>
            </a:ext>
          </a:extLst>
        </xdr:cNvPr>
        <xdr:cNvSpPr/>
      </xdr:nvSpPr>
      <xdr:spPr>
        <a:xfrm>
          <a:off x="83820" y="586740"/>
          <a:ext cx="1851660" cy="42519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335280</xdr:colOff>
      <xdr:row>4</xdr:row>
      <xdr:rowOff>30480</xdr:rowOff>
    </xdr:from>
    <xdr:to>
      <xdr:col>9</xdr:col>
      <xdr:colOff>144780</xdr:colOff>
      <xdr:row>15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0F891-8493-4DF4-B070-09AA6EF40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213360</xdr:colOff>
      <xdr:row>4</xdr:row>
      <xdr:rowOff>30480</xdr:rowOff>
    </xdr:from>
    <xdr:to>
      <xdr:col>15</xdr:col>
      <xdr:colOff>266700</xdr:colOff>
      <xdr:row>15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67E50-2C61-4442-A7CA-D27F63CDE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388620</xdr:colOff>
      <xdr:row>16</xdr:row>
      <xdr:rowOff>45720</xdr:rowOff>
    </xdr:from>
    <xdr:to>
      <xdr:col>12</xdr:col>
      <xdr:colOff>266700</xdr:colOff>
      <xdr:row>27</xdr:row>
      <xdr:rowOff>110748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F57217-B2F6-46EB-954C-68EF9E1EE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350520</xdr:colOff>
      <xdr:row>4</xdr:row>
      <xdr:rowOff>22860</xdr:rowOff>
    </xdr:from>
    <xdr:to>
      <xdr:col>22</xdr:col>
      <xdr:colOff>249476</xdr:colOff>
      <xdr:row>15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FE1C2C-2434-440D-A962-6317CDDA3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350520</xdr:colOff>
      <xdr:row>16</xdr:row>
      <xdr:rowOff>38100</xdr:rowOff>
    </xdr:from>
    <xdr:to>
      <xdr:col>22</xdr:col>
      <xdr:colOff>243840</xdr:colOff>
      <xdr:row>27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EE5BB3-50C2-4BD0-A58C-1F5F7F564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320040</xdr:colOff>
      <xdr:row>0</xdr:row>
      <xdr:rowOff>60960</xdr:rowOff>
    </xdr:from>
    <xdr:to>
      <xdr:col>16</xdr:col>
      <xdr:colOff>434340</xdr:colOff>
      <xdr:row>2</xdr:row>
      <xdr:rowOff>60960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1805645-A7F2-E630-F2DD-F1000738BDCB}"/>
            </a:ext>
          </a:extLst>
        </xdr:cNvPr>
        <xdr:cNvSpPr txBox="1"/>
      </xdr:nvSpPr>
      <xdr:spPr>
        <a:xfrm>
          <a:off x="3977640" y="60960"/>
          <a:ext cx="621030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U" sz="1400" b="1" i="1" u="sng">
              <a:solidFill>
                <a:schemeClr val="accent3">
                  <a:lumMod val="20000"/>
                  <a:lumOff val="80000"/>
                </a:schemeClr>
              </a:solidFill>
            </a:rPr>
            <a:t>Supply Chain Performance -</a:t>
          </a:r>
          <a:r>
            <a:rPr lang="en-AU" sz="1400" b="1" i="1" u="sng" baseline="0">
              <a:solidFill>
                <a:schemeClr val="accent3">
                  <a:lumMod val="20000"/>
                  <a:lumOff val="80000"/>
                </a:schemeClr>
              </a:solidFill>
            </a:rPr>
            <a:t> </a:t>
          </a:r>
          <a:r>
            <a:rPr lang="en-AU" sz="1400" b="1" i="1" u="sng">
              <a:solidFill>
                <a:schemeClr val="accent3">
                  <a:lumMod val="20000"/>
                  <a:lumOff val="80000"/>
                </a:schemeClr>
              </a:solidFill>
            </a:rPr>
            <a:t>Tranportation Efficiency</a:t>
          </a:r>
        </a:p>
      </xdr:txBody>
    </xdr:sp>
    <xdr:clientData/>
  </xdr:twoCellAnchor>
  <xdr:twoCellAnchor>
    <xdr:from>
      <xdr:col>0</xdr:col>
      <xdr:colOff>289560</xdr:colOff>
      <xdr:row>7</xdr:row>
      <xdr:rowOff>45720</xdr:rowOff>
    </xdr:from>
    <xdr:to>
      <xdr:col>2</xdr:col>
      <xdr:colOff>419100</xdr:colOff>
      <xdr:row>11</xdr:row>
      <xdr:rowOff>83820</xdr:rowOff>
    </xdr:to>
    <xdr:sp macro="" textlink="'PVT Tranportation'!A20">
      <xdr:nvSpPr>
        <xdr:cNvPr id="8" name="Rectangle: Rounded Corners 7">
          <a:extLst>
            <a:ext uri="{FF2B5EF4-FFF2-40B4-BE49-F238E27FC236}">
              <a16:creationId xmlns:a16="http://schemas.microsoft.com/office/drawing/2014/main" id="{6FE3BC2C-67D8-4DD0-3DB2-99BF2A56A0DD}"/>
            </a:ext>
          </a:extLst>
        </xdr:cNvPr>
        <xdr:cNvSpPr/>
      </xdr:nvSpPr>
      <xdr:spPr>
        <a:xfrm>
          <a:off x="289560" y="1219200"/>
          <a:ext cx="1348740" cy="70866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Total</a:t>
          </a:r>
          <a:r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t>Shiping</a:t>
          </a:r>
          <a:r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>
              <a:solidFill>
                <a:schemeClr val="tx1"/>
              </a:solidFill>
              <a:latin typeface="Arial"/>
              <a:cs typeface="Arial"/>
            </a:rPr>
            <a:t>Costs</a:t>
          </a:r>
        </a:p>
        <a:p>
          <a:pPr algn="ctr"/>
          <a:fld id="{18DE8A40-72F0-4B4A-9450-EFAB91885B77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$554.81 </a:t>
          </a:fld>
          <a:endParaRPr lang="en-AU" sz="1100" b="1"/>
        </a:p>
      </xdr:txBody>
    </xdr:sp>
    <xdr:clientData/>
  </xdr:twoCellAnchor>
  <xdr:twoCellAnchor>
    <xdr:from>
      <xdr:col>0</xdr:col>
      <xdr:colOff>297180</xdr:colOff>
      <xdr:row>12</xdr:row>
      <xdr:rowOff>116840</xdr:rowOff>
    </xdr:from>
    <xdr:to>
      <xdr:col>2</xdr:col>
      <xdr:colOff>434340</xdr:colOff>
      <xdr:row>16</xdr:row>
      <xdr:rowOff>154940</xdr:rowOff>
    </xdr:to>
    <xdr:sp macro="" textlink="'PVT Tranportation'!A21">
      <xdr:nvSpPr>
        <xdr:cNvPr id="9" name="Rectangle: Rounded Corners 8">
          <a:extLst>
            <a:ext uri="{FF2B5EF4-FFF2-40B4-BE49-F238E27FC236}">
              <a16:creationId xmlns:a16="http://schemas.microsoft.com/office/drawing/2014/main" id="{80197CB6-52C9-430D-8202-5C67C768DCD8}"/>
            </a:ext>
          </a:extLst>
        </xdr:cNvPr>
        <xdr:cNvSpPr/>
      </xdr:nvSpPr>
      <xdr:spPr>
        <a:xfrm>
          <a:off x="297180" y="2128520"/>
          <a:ext cx="1356360" cy="70866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000" b="1" i="0" u="none" strike="noStrike">
              <a:solidFill>
                <a:srgbClr val="000000"/>
              </a:solidFill>
              <a:latin typeface="Arial"/>
              <a:ea typeface="+mn-ea"/>
              <a:cs typeface="Arial"/>
            </a:rPr>
            <a:t>AVG Defect Rate</a:t>
          </a:r>
        </a:p>
        <a:p>
          <a:pPr marL="0" indent="0" algn="ctr"/>
          <a:fld id="{026708FF-3809-4C85-AD57-6DF64436650D}" type="TxLink">
            <a:rPr lang="en-US" sz="1000" b="1" i="0" u="none" strike="noStrike">
              <a:solidFill>
                <a:srgbClr val="000000"/>
              </a:solidFill>
              <a:latin typeface="Arial"/>
              <a:ea typeface="+mn-ea"/>
              <a:cs typeface="Arial"/>
            </a:rPr>
            <a:pPr marL="0" indent="0" algn="ctr"/>
            <a:t>2.28</a:t>
          </a:fld>
          <a:endParaRPr lang="en-AU" sz="1000" b="1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0</xdr:col>
      <xdr:colOff>304800</xdr:colOff>
      <xdr:row>18</xdr:row>
      <xdr:rowOff>20320</xdr:rowOff>
    </xdr:from>
    <xdr:to>
      <xdr:col>2</xdr:col>
      <xdr:colOff>434340</xdr:colOff>
      <xdr:row>22</xdr:row>
      <xdr:rowOff>58420</xdr:rowOff>
    </xdr:to>
    <xdr:sp macro="" textlink="'PVT Tranportation'!A22">
      <xdr:nvSpPr>
        <xdr:cNvPr id="10" name="Rectangle: Rounded Corners 9">
          <a:extLst>
            <a:ext uri="{FF2B5EF4-FFF2-40B4-BE49-F238E27FC236}">
              <a16:creationId xmlns:a16="http://schemas.microsoft.com/office/drawing/2014/main" id="{A71E7614-3460-4815-BB0B-F60167B4F91C}"/>
            </a:ext>
          </a:extLst>
        </xdr:cNvPr>
        <xdr:cNvSpPr/>
      </xdr:nvSpPr>
      <xdr:spPr>
        <a:xfrm>
          <a:off x="304800" y="3037840"/>
          <a:ext cx="1348740" cy="70866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000" b="1" i="0" u="none" strike="noStrike">
              <a:solidFill>
                <a:srgbClr val="000000"/>
              </a:solidFill>
              <a:latin typeface="Arial"/>
              <a:ea typeface="+mn-ea"/>
              <a:cs typeface="Arial"/>
            </a:rPr>
            <a:t>Inspection Pass Rate</a:t>
          </a:r>
        </a:p>
        <a:p>
          <a:pPr marL="0" indent="0" algn="ctr"/>
          <a:fld id="{68A74FF7-C425-4478-AB20-D92B4A8FF493}" type="TxLink">
            <a:rPr lang="en-US" sz="1000" b="1" i="0" u="none" strike="noStrike">
              <a:solidFill>
                <a:srgbClr val="000000"/>
              </a:solidFill>
              <a:latin typeface="Arial"/>
              <a:ea typeface="+mn-ea"/>
              <a:cs typeface="Arial"/>
            </a:rPr>
            <a:pPr marL="0" indent="0" algn="ctr"/>
            <a:t>23</a:t>
          </a:fld>
          <a:r>
            <a:rPr lang="en-US" sz="1000" b="1" i="0" u="none" strike="noStrike">
              <a:solidFill>
                <a:srgbClr val="000000"/>
              </a:solidFill>
              <a:latin typeface="Arial"/>
              <a:ea typeface="+mn-ea"/>
              <a:cs typeface="Arial"/>
            </a:rPr>
            <a:t>%</a:t>
          </a:r>
          <a:endParaRPr lang="en-AU" sz="1000" b="1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0</xdr:col>
      <xdr:colOff>312420</xdr:colOff>
      <xdr:row>23</xdr:row>
      <xdr:rowOff>91440</xdr:rowOff>
    </xdr:from>
    <xdr:to>
      <xdr:col>2</xdr:col>
      <xdr:colOff>449580</xdr:colOff>
      <xdr:row>27</xdr:row>
      <xdr:rowOff>129540</xdr:rowOff>
    </xdr:to>
    <xdr:sp macro="" textlink="'PVT Tranportation'!A23">
      <xdr:nvSpPr>
        <xdr:cNvPr id="11" name="Rectangle: Rounded Corners 10">
          <a:extLst>
            <a:ext uri="{FF2B5EF4-FFF2-40B4-BE49-F238E27FC236}">
              <a16:creationId xmlns:a16="http://schemas.microsoft.com/office/drawing/2014/main" id="{D8D197AF-6581-41EA-9763-14B173962806}"/>
            </a:ext>
          </a:extLst>
        </xdr:cNvPr>
        <xdr:cNvSpPr/>
      </xdr:nvSpPr>
      <xdr:spPr>
        <a:xfrm>
          <a:off x="312420" y="3947160"/>
          <a:ext cx="1356360" cy="70866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000" b="1" i="0" u="none" strike="noStrike">
              <a:solidFill>
                <a:srgbClr val="000000"/>
              </a:solidFill>
              <a:latin typeface="Arial"/>
              <a:ea typeface="+mn-ea"/>
              <a:cs typeface="Arial"/>
            </a:rPr>
            <a:t>AVG Lead Time</a:t>
          </a:r>
        </a:p>
        <a:p>
          <a:pPr marL="0" indent="0" algn="ctr"/>
          <a:fld id="{7581258A-E778-4C8A-9EDD-5AD6ADD74AB0}" type="TxLink">
            <a:rPr lang="en-US" sz="1000" b="1" i="0" u="none" strike="noStrike">
              <a:solidFill>
                <a:srgbClr val="000000"/>
              </a:solidFill>
              <a:latin typeface="Arial"/>
              <a:ea typeface="+mn-ea"/>
              <a:cs typeface="Arial"/>
            </a:rPr>
            <a:pPr marL="0" indent="0" algn="ctr"/>
            <a:t>16</a:t>
          </a:fld>
          <a:endParaRPr lang="en-AU" sz="1000" b="1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0</xdr:col>
      <xdr:colOff>312420</xdr:colOff>
      <xdr:row>4</xdr:row>
      <xdr:rowOff>114300</xdr:rowOff>
    </xdr:from>
    <xdr:to>
      <xdr:col>2</xdr:col>
      <xdr:colOff>441960</xdr:colOff>
      <xdr:row>6</xdr:row>
      <xdr:rowOff>68580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8FF75A5-9B95-580D-9DC5-CB9056409040}"/>
            </a:ext>
          </a:extLst>
        </xdr:cNvPr>
        <xdr:cNvSpPr txBox="1"/>
      </xdr:nvSpPr>
      <xdr:spPr>
        <a:xfrm>
          <a:off x="312420" y="784860"/>
          <a:ext cx="134874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U" sz="1100" b="1" i="1" u="sng">
              <a:solidFill>
                <a:schemeClr val="accent1"/>
              </a:solidFill>
            </a:rPr>
            <a:t>Transport KPIs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i kumar" refreshedDate="46239.618233564812" createdVersion="8" refreshedVersion="8" minRefreshableVersion="3" recordCount="1000" xr:uid="{13AE304F-A2F7-42FD-BE71-C94350B97244}">
  <cacheSource type="worksheet">
    <worksheetSource ref="A1:AA1048576" sheet="supply_chain_data"/>
  </cacheSource>
  <cacheFields count="27">
    <cacheField name="Product type" numFmtId="49">
      <sharedItems containsBlank="1" count="4">
        <s v="haircare"/>
        <s v="skincare"/>
        <s v="cosmetics"/>
        <m/>
      </sharedItems>
    </cacheField>
    <cacheField name="SKU" numFmtId="49">
      <sharedItems containsBlank="1" count="101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  <m/>
      </sharedItems>
    </cacheField>
    <cacheField name="Price" numFmtId="164">
      <sharedItems containsString="0" containsBlank="1" containsNumber="1" minValue="1.6999760138659299" maxValue="99.171328638624104"/>
    </cacheField>
    <cacheField name="Availability" numFmtId="2">
      <sharedItems containsString="0" containsBlank="1" containsNumber="1" containsInteger="1" minValue="1" maxValue="100"/>
    </cacheField>
    <cacheField name="Number of products sold" numFmtId="1">
      <sharedItems containsString="0" containsBlank="1" containsNumber="1" containsInteger="1" minValue="8" maxValue="996"/>
    </cacheField>
    <cacheField name="Revenue generated" numFmtId="44">
      <sharedItems containsString="0" containsBlank="1" containsNumber="1" minValue="1061.6185230132801" maxValue="9866.4654579796897"/>
    </cacheField>
    <cacheField name="Customer demographics" numFmtId="49">
      <sharedItems containsBlank="1"/>
    </cacheField>
    <cacheField name="Stock levels" numFmtId="1">
      <sharedItems containsString="0" containsBlank="1" containsNumber="1" containsInteger="1" minValue="0" maxValue="100"/>
    </cacheField>
    <cacheField name="Lead times" numFmtId="1">
      <sharedItems containsString="0" containsBlank="1" containsNumber="1" containsInteger="1" minValue="1" maxValue="30"/>
    </cacheField>
    <cacheField name="Order quantities" numFmtId="1">
      <sharedItems containsString="0" containsBlank="1" containsNumber="1" containsInteger="1" minValue="1" maxValue="96"/>
    </cacheField>
    <cacheField name="Shipping times" numFmtId="1">
      <sharedItems containsString="0" containsBlank="1" containsNumber="1" containsInteger="1" minValue="1" maxValue="10"/>
    </cacheField>
    <cacheField name="Shipping carriers" numFmtId="49">
      <sharedItems containsBlank="1"/>
    </cacheField>
    <cacheField name="Shipping costs" numFmtId="44">
      <sharedItems containsString="0" containsBlank="1" containsNumber="1" minValue="1.0134865660958901" maxValue="9.9298162452772498"/>
    </cacheField>
    <cacheField name="Supplier name" numFmtId="49">
      <sharedItems containsBlank="1" count="6">
        <s v="Supplier 3"/>
        <s v="Supplier 1"/>
        <s v="Supplier 5"/>
        <s v="Supplier 4"/>
        <s v="Supplier 2"/>
        <m/>
      </sharedItems>
    </cacheField>
    <cacheField name="Location" numFmtId="49">
      <sharedItems containsBlank="1"/>
    </cacheField>
    <cacheField name="Lead time" numFmtId="1">
      <sharedItems containsString="0" containsBlank="1" containsNumber="1" containsInteger="1" minValue="1" maxValue="30"/>
    </cacheField>
    <cacheField name="Production volumes" numFmtId="1">
      <sharedItems containsString="0" containsBlank="1" containsNumber="1" containsInteger="1" minValue="104" maxValue="985"/>
    </cacheField>
    <cacheField name="Manufacturing lead time" numFmtId="1">
      <sharedItems containsString="0" containsBlank="1" containsNumber="1" containsInteger="1" minValue="1" maxValue="30"/>
    </cacheField>
    <cacheField name="Manufacturing costs" numFmtId="44">
      <sharedItems containsString="0" containsBlank="1" containsNumber="1" minValue="1.0850685695870601" maxValue="99.466108603599096"/>
    </cacheField>
    <cacheField name="Inspection results" numFmtId="49">
      <sharedItems containsBlank="1"/>
    </cacheField>
    <cacheField name="Defect rates" numFmtId="0">
      <sharedItems containsString="0" containsBlank="1" containsNumber="1" minValue="1.8607567631014899E-2" maxValue="4.9392552886209398"/>
    </cacheField>
    <cacheField name="Transportation modes" numFmtId="49">
      <sharedItems containsBlank="1" count="5">
        <s v="Road"/>
        <s v="Air"/>
        <s v="Rail"/>
        <s v="Sea"/>
        <m/>
      </sharedItems>
    </cacheField>
    <cacheField name="Routes" numFmtId="49">
      <sharedItems containsBlank="1"/>
    </cacheField>
    <cacheField name="Costs" numFmtId="44">
      <sharedItems containsString="0" containsBlank="1" containsNumber="1" minValue="103.916247960704" maxValue="997.41345013319403"/>
    </cacheField>
    <cacheField name="Profit" numFmtId="44">
      <sharedItems containsString="0" containsBlank="1" containsNumber="1" minValue="739.84976456280003" maxValue="9397.0868454871925"/>
    </cacheField>
    <cacheField name="Profit Margin" numFmtId="0">
      <sharedItems containsBlank="1" containsMixedTypes="1" containsNumber="1" minValue="0.46051103425228368" maxValue="0.98219015195184411"/>
    </cacheField>
    <cacheField name="Sales To Stock Ratio" numFmtId="0">
      <sharedItems containsBlank="1" containsMixedTypes="1" containsNumber="1" minValue="0" maxValue="602" count="101">
        <n v="13.827586206896552"/>
        <n v="13.886792452830189"/>
        <n v="8"/>
        <n v="3.6086956521739131"/>
        <n v="174.2"/>
        <n v="1.6333333333333333"/>
        <n v="5.9090909090909092"/>
        <n v="4.580645161290323"/>
        <n v="30"/>
        <n v="70"/>
        <n v="19.529411764705884"/>
        <n v="20.869565217391305"/>
        <n v="3.36"/>
        <n v="3.1124999999999998"/>
        <n v="10.407407407407407"/>
        <n v="52.111111111111114"/>
        <n v="140"/>
        <n v="2.8"/>
        <n v="62"/>
        <n v="3.8958333333333335"/>
        <n v="11.851851851851851"/>
        <n v="8.7101449275362324"/>
        <n v="12.450704225352112"/>
        <n v="4.6547619047619051"/>
        <n v="52.25"/>
        <n v="1.7317073170731707"/>
        <n v="5.9830508474576272"/>
        <n v="7.4893617021276597"/>
        <n v="8.2083333333333339"/>
        <n v="5.6222222222222218"/>
        <n v="5.45"/>
        <n v="28"/>
        <n v="8.7752808988764048"/>
        <n v="154"/>
        <n v="602"/>
        <n v="10.69047619047619"/>
        <n v="53.5"/>
        <n v="38.520000000000003"/>
        <n v="10.217391304347826"/>
        <n v="2.2564102564102564"/>
        <n v="10.366666666666667"/>
        <n v="8.6875"/>
        <n v="7.0454545454545459"/>
        <n v="16.611111111111111"/>
        <n v="70.692307692307693"/>
        <n v="0.25806451612903225"/>
        <n v="9.3369565217391308"/>
        <n v="227.5"/>
        <n v="0.96666666666666667"/>
        <n v="1.0206185567010309"/>
        <n v="20.419354838709676"/>
        <n v="1.54"/>
        <n v="12.8125"/>
        <n v="2.5208333333333335"/>
        <n v="18.848484848484848"/>
        <n v="7.2268041237113403"/>
        <n v="3.72"/>
        <n v="45.4"/>
        <n v="89.6"/>
        <n v="4.84"/>
        <n v="9.2682926829268286"/>
        <n v="3.65625"/>
        <n v="3.13953488372093"/>
        <n v="4.5555555555555554"/>
        <n v="1.8356164383561644"/>
        <n v="8.0175438596491233"/>
        <n v="54.153846153846153"/>
        <n v="42.75"/>
        <n v="0"/>
        <n v="5.3789473684210529"/>
        <n v="3.2"/>
        <n v="8.3815789473684212"/>
        <n v="8.3859649122807021"/>
        <n v="22.058823529411764"/>
        <n v="22.048780487804876"/>
        <n v="6.625"/>
        <n v="6.3421052631578947"/>
        <n v="3.7395833333333335"/>
        <n v="189.2"/>
        <n v="6.387096774193548"/>
        <n v="22.358974358974358"/>
        <n v="16.125"/>
        <n v="10.199999999999999"/>
        <n v="8.4657534246575334"/>
        <n v="1.6666666666666667"/>
        <n v="6.96875"/>
        <n v="15.8"/>
        <n v="12.283333333333333"/>
        <n v="1.4888888888888889"/>
        <n v="4.8484848484848486"/>
        <n v="9.3469387755102034"/>
        <n v="3.0666666666666669"/>
        <n v="1.8095238095238095"/>
        <n v="12.818181818181818"/>
        <n v="44.8"/>
        <n v="4.8358208955223878"/>
        <n v="1.3478260869565217"/>
        <n v="17.226415094339622"/>
        <n v="11.4"/>
        <m/>
        <e v="#NAME?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i kumar" refreshedDate="46239.855539004631" createdVersion="8" refreshedVersion="8" minRefreshableVersion="3" recordCount="1000" xr:uid="{74165CB9-FBDD-4A9D-9996-F9BE669B2B4F}">
  <cacheSource type="worksheet">
    <worksheetSource ref="A1:AB1048576" sheet="supply_chain_data"/>
  </cacheSource>
  <cacheFields count="28">
    <cacheField name="Product type" numFmtId="49">
      <sharedItems containsBlank="1"/>
    </cacheField>
    <cacheField name="SKU" numFmtId="49">
      <sharedItems containsBlank="1"/>
    </cacheField>
    <cacheField name="Price" numFmtId="164">
      <sharedItems containsString="0" containsBlank="1" containsNumber="1" minValue="1.6999760138659299" maxValue="99.171328638624104"/>
    </cacheField>
    <cacheField name="Availability" numFmtId="2">
      <sharedItems containsString="0" containsBlank="1" containsNumber="1" containsInteger="1" minValue="1" maxValue="100"/>
    </cacheField>
    <cacheField name="Number of products sold" numFmtId="1">
      <sharedItems containsString="0" containsBlank="1" containsNumber="1" containsInteger="1" minValue="8" maxValue="996"/>
    </cacheField>
    <cacheField name="Revenue generated" numFmtId="44">
      <sharedItems containsString="0" containsBlank="1" containsNumber="1" minValue="1061.6185230132801" maxValue="9866.4654579796897"/>
    </cacheField>
    <cacheField name="Customer demographics" numFmtId="49">
      <sharedItems containsBlank="1" count="5">
        <s v="Non-binary"/>
        <s v="Female"/>
        <s v="Unknown"/>
        <s v="Male"/>
        <m/>
      </sharedItems>
    </cacheField>
    <cacheField name="Stock levels" numFmtId="1">
      <sharedItems containsString="0" containsBlank="1" containsNumber="1" containsInteger="1" minValue="0" maxValue="100"/>
    </cacheField>
    <cacheField name="Lead times" numFmtId="1">
      <sharedItems containsString="0" containsBlank="1" containsNumber="1" containsInteger="1" minValue="1" maxValue="30"/>
    </cacheField>
    <cacheField name="Order quantities" numFmtId="1">
      <sharedItems containsString="0" containsBlank="1" containsNumber="1" containsInteger="1" minValue="1" maxValue="96"/>
    </cacheField>
    <cacheField name="Shipping times" numFmtId="1">
      <sharedItems containsString="0" containsBlank="1" containsNumber="1" containsInteger="1" minValue="1" maxValue="10"/>
    </cacheField>
    <cacheField name="Shipping carriers" numFmtId="49">
      <sharedItems containsBlank="1"/>
    </cacheField>
    <cacheField name="Shipping costs" numFmtId="44">
      <sharedItems containsString="0" containsBlank="1" containsNumber="1" minValue="1.0134865660958901" maxValue="9.9298162452772498"/>
    </cacheField>
    <cacheField name="Supplier name" numFmtId="49">
      <sharedItems containsBlank="1"/>
    </cacheField>
    <cacheField name="Location" numFmtId="49">
      <sharedItems containsBlank="1"/>
    </cacheField>
    <cacheField name="Lead time" numFmtId="1">
      <sharedItems containsString="0" containsBlank="1" containsNumber="1" containsInteger="1" minValue="1" maxValue="30"/>
    </cacheField>
    <cacheField name="Production volumes" numFmtId="1">
      <sharedItems containsString="0" containsBlank="1" containsNumber="1" containsInteger="1" minValue="104" maxValue="985"/>
    </cacheField>
    <cacheField name="Manufacturing lead time" numFmtId="1">
      <sharedItems containsString="0" containsBlank="1" containsNumber="1" containsInteger="1" minValue="1" maxValue="30"/>
    </cacheField>
    <cacheField name="Manufacturing costs" numFmtId="44">
      <sharedItems containsString="0" containsBlank="1" containsNumber="1" minValue="1.0850685695870601" maxValue="99.466108603599096"/>
    </cacheField>
    <cacheField name="Inspection results" numFmtId="49">
      <sharedItems containsBlank="1"/>
    </cacheField>
    <cacheField name="Defect rates" numFmtId="0">
      <sharedItems containsString="0" containsBlank="1" containsNumber="1" minValue="1.8607567631014899E-2" maxValue="4.9392552886209398"/>
    </cacheField>
    <cacheField name="Transportation modes" numFmtId="49">
      <sharedItems containsBlank="1" count="5">
        <s v="Road"/>
        <s v="Air"/>
        <s v="Rail"/>
        <s v="Sea"/>
        <m/>
      </sharedItems>
    </cacheField>
    <cacheField name="Routes" numFmtId="49">
      <sharedItems containsBlank="1"/>
    </cacheField>
    <cacheField name="Costs" numFmtId="44">
      <sharedItems containsString="0" containsBlank="1" containsNumber="1" minValue="103.916247960704" maxValue="997.41345013319403"/>
    </cacheField>
    <cacheField name="Profit" numFmtId="44">
      <sharedItems containsString="0" containsBlank="1" containsNumber="1" minValue="739.84976456280003" maxValue="9397.0868454871925"/>
    </cacheField>
    <cacheField name="Profit Margin" numFmtId="0">
      <sharedItems containsBlank="1" containsMixedTypes="1" containsNumber="1" minValue="0.46051103425228368" maxValue="0.98219015195184411"/>
    </cacheField>
    <cacheField name="Sales To Stock Ratio" numFmtId="0">
      <sharedItems containsBlank="1" containsMixedTypes="1" containsNumber="1" minValue="0" maxValue="602"/>
    </cacheField>
    <cacheField name="Pass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69.808005542115694"/>
    <n v="55"/>
    <n v="802"/>
    <n v="8661.9967923923796"/>
    <s v="Non-binary"/>
    <n v="58"/>
    <n v="7"/>
    <n v="96"/>
    <n v="4"/>
    <s v="Carrier B"/>
    <n v="2.9565721394308002"/>
    <x v="0"/>
    <s v="Mumbai"/>
    <n v="29"/>
    <n v="215"/>
    <n v="29"/>
    <n v="46.279879240508301"/>
    <s v="Pending"/>
    <n v="0.226410360849925"/>
    <x v="0"/>
    <s v="Route B"/>
    <n v="187.75207545920301"/>
    <n v="8425.0082655532387"/>
    <n v="0.97264042777673598"/>
    <x v="0"/>
  </r>
  <r>
    <x v="1"/>
    <x v="1"/>
    <n v="14.8435232750843"/>
    <n v="95"/>
    <n v="736"/>
    <n v="7460.9000654458396"/>
    <s v="Female"/>
    <n v="53"/>
    <n v="30"/>
    <n v="37"/>
    <n v="2"/>
    <s v="Carrier A"/>
    <n v="9.7165747714313095"/>
    <x v="0"/>
    <s v="Mumbai"/>
    <n v="23"/>
    <n v="517"/>
    <n v="30"/>
    <n v="33.616768953730002"/>
    <s v="Pending"/>
    <n v="4.8540680263886999"/>
    <x v="0"/>
    <s v="Route B"/>
    <n v="503.06557914966902"/>
    <n v="6914.501142571009"/>
    <n v="0.92676501252102217"/>
    <x v="1"/>
  </r>
  <r>
    <x v="0"/>
    <x v="2"/>
    <n v="11.319683293090501"/>
    <n v="34"/>
    <n v="8"/>
    <n v="9577.7496258687297"/>
    <s v="Unknown"/>
    <n v="1"/>
    <n v="10"/>
    <n v="88"/>
    <n v="2"/>
    <s v="Carrier B"/>
    <n v="8.0544792617321495"/>
    <x v="1"/>
    <s v="Mumbai"/>
    <n v="12"/>
    <n v="971"/>
    <n v="27"/>
    <n v="30.6880193482842"/>
    <s v="Pending"/>
    <n v="4.5805926191992201"/>
    <x v="1"/>
    <s v="Route C"/>
    <n v="141.920281771519"/>
    <n v="9397.0868454871925"/>
    <n v="0.9811372412687025"/>
    <x v="2"/>
  </r>
  <r>
    <x v="1"/>
    <x v="3"/>
    <n v="61.1633430164377"/>
    <n v="68"/>
    <n v="83"/>
    <n v="7766.8364256852301"/>
    <s v="Non-binary"/>
    <n v="23"/>
    <n v="13"/>
    <n v="59"/>
    <n v="6"/>
    <s v="Carrier C"/>
    <n v="1.7295685635434199"/>
    <x v="2"/>
    <s v="Kolkata"/>
    <n v="24"/>
    <n v="937"/>
    <n v="18"/>
    <n v="35.624741397125"/>
    <s v="Fail"/>
    <n v="4.7466486206477496"/>
    <x v="2"/>
    <s v="Route A"/>
    <n v="254.776159219286"/>
    <n v="7474.705956505275"/>
    <n v="0.96238745698134331"/>
    <x v="3"/>
  </r>
  <r>
    <x v="1"/>
    <x v="4"/>
    <n v="4.8054960363458896"/>
    <n v="26"/>
    <n v="871"/>
    <n v="2686.50515156744"/>
    <s v="Non-binary"/>
    <n v="5"/>
    <n v="3"/>
    <n v="56"/>
    <n v="8"/>
    <s v="Carrier A"/>
    <n v="3.8905479158706702"/>
    <x v="1"/>
    <s v="Delhi"/>
    <n v="5"/>
    <n v="414"/>
    <n v="3"/>
    <n v="92.065160598712794"/>
    <s v="Fail"/>
    <n v="3.1455795228330001"/>
    <x v="1"/>
    <s v="Route A"/>
    <n v="923.44063171192204"/>
    <n v="1667.1088113409346"/>
    <n v="0.62054927025479956"/>
    <x v="4"/>
  </r>
  <r>
    <x v="0"/>
    <x v="5"/>
    <n v="1.6999760138659299"/>
    <n v="87"/>
    <n v="147"/>
    <n v="2828.3487459757498"/>
    <s v="Non-binary"/>
    <n v="90"/>
    <n v="27"/>
    <n v="66"/>
    <n v="3"/>
    <s v="Carrier B"/>
    <n v="4.4440988643822896"/>
    <x v="3"/>
    <s v="Bangalore"/>
    <n v="10"/>
    <n v="104"/>
    <n v="17"/>
    <n v="56.766475557431797"/>
    <s v="Fail"/>
    <n v="2.7791935115711599"/>
    <x v="0"/>
    <s v="Route A"/>
    <n v="235.461236735537"/>
    <n v="2531.6769348183984"/>
    <n v="0.89510776859485097"/>
    <x v="5"/>
  </r>
  <r>
    <x v="1"/>
    <x v="6"/>
    <n v="4.0783328631079403"/>
    <n v="48"/>
    <n v="65"/>
    <n v="7823.4765595317303"/>
    <s v="Male"/>
    <n v="11"/>
    <n v="15"/>
    <n v="58"/>
    <n v="8"/>
    <s v="Carrier C"/>
    <n v="3.8807633029519999"/>
    <x v="0"/>
    <s v="Kolkata"/>
    <n v="14"/>
    <n v="314"/>
    <n v="24"/>
    <n v="1.0850685695870601"/>
    <s v="Pending"/>
    <n v="1.0009106193041299"/>
    <x v="3"/>
    <s v="Route A"/>
    <n v="134.36909686103101"/>
    <n v="7684.1416307981608"/>
    <n v="0.98219015195184411"/>
    <x v="6"/>
  </r>
  <r>
    <x v="2"/>
    <x v="7"/>
    <n v="42.958384382459997"/>
    <n v="59"/>
    <n v="426"/>
    <n v="8496.1038130898305"/>
    <s v="Female"/>
    <n v="93"/>
    <n v="17"/>
    <n v="11"/>
    <n v="1"/>
    <s v="Carrier B"/>
    <n v="2.3483387844177801"/>
    <x v="3"/>
    <s v="Bangalore"/>
    <n v="22"/>
    <n v="564"/>
    <n v="1"/>
    <n v="99.466108603599096"/>
    <s v="Fail"/>
    <n v="0.39817718685065001"/>
    <x v="0"/>
    <s v="Route C"/>
    <n v="802.05631181755803"/>
    <n v="7592.2330538842562"/>
    <n v="0.89361349871773066"/>
    <x v="7"/>
  </r>
  <r>
    <x v="2"/>
    <x v="8"/>
    <n v="68.717596748527299"/>
    <n v="78"/>
    <n v="150"/>
    <n v="7517.3632106311197"/>
    <s v="Female"/>
    <n v="5"/>
    <n v="10"/>
    <n v="15"/>
    <n v="7"/>
    <s v="Carrier C"/>
    <n v="3.4047338570830199"/>
    <x v="3"/>
    <s v="Mumbai"/>
    <n v="13"/>
    <n v="769"/>
    <n v="8"/>
    <n v="11.423027139565599"/>
    <s v="Pending"/>
    <n v="2.7098626911099601"/>
    <x v="3"/>
    <s v="Route B"/>
    <n v="505.55713422546398"/>
    <n v="6996.9783154090073"/>
    <n v="0.93077560832950312"/>
    <x v="8"/>
  </r>
  <r>
    <x v="1"/>
    <x v="9"/>
    <n v="64.0157329412785"/>
    <n v="35"/>
    <n v="980"/>
    <n v="4971.1459875855498"/>
    <s v="Unknown"/>
    <n v="14"/>
    <n v="27"/>
    <n v="83"/>
    <n v="1"/>
    <s v="Carrier A"/>
    <n v="7.1666452910482104"/>
    <x v="4"/>
    <s v="Chennai"/>
    <n v="29"/>
    <n v="963"/>
    <n v="23"/>
    <n v="47.957601634951502"/>
    <s v="Pending"/>
    <n v="3.8446144787675798"/>
    <x v="2"/>
    <s v="Route B"/>
    <n v="995.92946149864099"/>
    <n v="3920.0922791609087"/>
    <n v="0.78856913254017502"/>
    <x v="9"/>
  </r>
  <r>
    <x v="1"/>
    <x v="10"/>
    <n v="15.707795681912099"/>
    <n v="11"/>
    <n v="996"/>
    <n v="2330.9658020919401"/>
    <s v="Non-binary"/>
    <n v="51"/>
    <n v="13"/>
    <n v="80"/>
    <n v="2"/>
    <s v="Carrier C"/>
    <n v="8.6732112112786108"/>
    <x v="2"/>
    <s v="Kolkata"/>
    <n v="18"/>
    <n v="830"/>
    <n v="5"/>
    <n v="96.527352785310896"/>
    <s v="Pass"/>
    <n v="1.72731392835594"/>
    <x v="0"/>
    <s v="Route B"/>
    <n v="806.10317770292295"/>
    <n v="1419.6620603924275"/>
    <n v="0.60904456818643271"/>
    <x v="10"/>
  </r>
  <r>
    <x v="1"/>
    <x v="11"/>
    <n v="90.635459982288594"/>
    <n v="95"/>
    <n v="960"/>
    <n v="6099.9441155814502"/>
    <s v="Female"/>
    <n v="46"/>
    <n v="23"/>
    <n v="60"/>
    <n v="1"/>
    <s v="Carrier A"/>
    <n v="4.5239431243166601"/>
    <x v="4"/>
    <s v="Kolkata"/>
    <n v="28"/>
    <n v="362"/>
    <n v="11"/>
    <n v="27.5923630866636"/>
    <s v="Pending"/>
    <n v="2.1169821372994301E-2"/>
    <x v="1"/>
    <s v="Route A"/>
    <n v="126.72303340940699"/>
    <n v="5941.1047759610628"/>
    <n v="0.97396052543913403"/>
    <x v="11"/>
  </r>
  <r>
    <x v="0"/>
    <x v="12"/>
    <n v="71.213389075359999"/>
    <n v="41"/>
    <n v="336"/>
    <n v="2873.74144602144"/>
    <s v="Unknown"/>
    <n v="100"/>
    <n v="30"/>
    <n v="85"/>
    <n v="4"/>
    <s v="Carrier A"/>
    <n v="1.32527401018452"/>
    <x v="3"/>
    <s v="Kolkata"/>
    <n v="3"/>
    <n v="563"/>
    <n v="3"/>
    <n v="32.321286213424003"/>
    <s v="Fail"/>
    <n v="2.1612537475559099"/>
    <x v="0"/>
    <s v="Route B"/>
    <n v="402.96878907376998"/>
    <n v="2437.1260967240614"/>
    <n v="0.84806728180022872"/>
    <x v="12"/>
  </r>
  <r>
    <x v="1"/>
    <x v="13"/>
    <n v="16.160393317379899"/>
    <n v="5"/>
    <n v="249"/>
    <n v="4052.7384162378598"/>
    <s v="Male"/>
    <n v="80"/>
    <n v="8"/>
    <n v="48"/>
    <n v="9"/>
    <s v="Carrier A"/>
    <n v="9.5372830611083295"/>
    <x v="2"/>
    <s v="Bangalore"/>
    <n v="23"/>
    <n v="173"/>
    <n v="10"/>
    <n v="97.829050110173199"/>
    <s v="Pending"/>
    <n v="1.63107423007153"/>
    <x v="0"/>
    <s v="Route B"/>
    <n v="547.24100516096803"/>
    <n v="3398.1310779056103"/>
    <n v="0.83847777203940077"/>
    <x v="13"/>
  </r>
  <r>
    <x v="1"/>
    <x v="14"/>
    <n v="99.171328638624104"/>
    <n v="26"/>
    <n v="562"/>
    <n v="8653.5709264697998"/>
    <s v="Non-binary"/>
    <n v="54"/>
    <n v="29"/>
    <n v="78"/>
    <n v="5"/>
    <s v="Carrier B"/>
    <n v="2.0397701894493299"/>
    <x v="1"/>
    <s v="Kolkata"/>
    <n v="25"/>
    <n v="558"/>
    <n v="14"/>
    <n v="5.7914366298629796"/>
    <s v="Pending"/>
    <n v="0.100682851565093"/>
    <x v="1"/>
    <s v="Route B"/>
    <n v="929.23528996088896"/>
    <n v="7716.5044296895994"/>
    <n v="0.89171331641670915"/>
    <x v="14"/>
  </r>
  <r>
    <x v="1"/>
    <x v="15"/>
    <n v="36.989244928626903"/>
    <n v="94"/>
    <n v="469"/>
    <n v="5442.0867853976697"/>
    <s v="Non-binary"/>
    <n v="9"/>
    <n v="8"/>
    <n v="69"/>
    <n v="7"/>
    <s v="Carrier B"/>
    <n v="2.4220397232752"/>
    <x v="1"/>
    <s v="Bangalore"/>
    <n v="14"/>
    <n v="580"/>
    <n v="7"/>
    <n v="97.121281751474299"/>
    <s v="Pass"/>
    <n v="2.2644057611985402"/>
    <x v="3"/>
    <s v="Route B"/>
    <n v="127.861800001625"/>
    <n v="5214.6816639212957"/>
    <n v="0.9582136172310679"/>
    <x v="15"/>
  </r>
  <r>
    <x v="1"/>
    <x v="16"/>
    <n v="7.5471721097912701"/>
    <n v="74"/>
    <n v="280"/>
    <n v="6453.7979681762799"/>
    <s v="Female"/>
    <n v="2"/>
    <n v="5"/>
    <n v="78"/>
    <n v="1"/>
    <s v="Carrier B"/>
    <n v="4.1913245857054999"/>
    <x v="1"/>
    <s v="Bangalore"/>
    <n v="3"/>
    <n v="399"/>
    <n v="21"/>
    <n v="77.106342497849994"/>
    <s v="Pass"/>
    <n v="1.01256308925804"/>
    <x v="1"/>
    <s v="Route A"/>
    <n v="865.52577977123997"/>
    <n v="5506.9745213214837"/>
    <n v="0.85329205352823423"/>
    <x v="16"/>
  </r>
  <r>
    <x v="2"/>
    <x v="17"/>
    <n v="81.462534369237005"/>
    <n v="82"/>
    <n v="126"/>
    <n v="2629.39643484526"/>
    <s v="Female"/>
    <n v="45"/>
    <n v="17"/>
    <n v="85"/>
    <n v="9"/>
    <s v="Carrier C"/>
    <n v="3.5854189582323399"/>
    <x v="1"/>
    <s v="Chennai"/>
    <n v="7"/>
    <n v="453"/>
    <n v="16"/>
    <n v="47.679680368355299"/>
    <s v="Fail"/>
    <n v="0.102020754918176"/>
    <x v="1"/>
    <s v="Route C"/>
    <n v="670.93439079241"/>
    <n v="1907.1969447262625"/>
    <n v="0.72533640019121004"/>
    <x v="17"/>
  </r>
  <r>
    <x v="0"/>
    <x v="18"/>
    <n v="36.4436277704609"/>
    <n v="23"/>
    <n v="620"/>
    <n v="9364.6735050761708"/>
    <s v="Unknown"/>
    <n v="10"/>
    <n v="10"/>
    <n v="46"/>
    <n v="8"/>
    <s v="Carrier C"/>
    <n v="4.3392247141107001"/>
    <x v="4"/>
    <s v="Kolkata"/>
    <n v="18"/>
    <n v="374"/>
    <n v="17"/>
    <n v="27.107980854843898"/>
    <s v="Pending"/>
    <n v="2.2319391107292601"/>
    <x v="3"/>
    <s v="Route A"/>
    <n v="593.48025872065102"/>
    <n v="8739.7460407865656"/>
    <n v="0.93326756517983678"/>
    <x v="18"/>
  </r>
  <r>
    <x v="1"/>
    <x v="19"/>
    <n v="51.123870087964697"/>
    <n v="100"/>
    <n v="187"/>
    <n v="2553.4955849912099"/>
    <s v="Unknown"/>
    <n v="48"/>
    <n v="11"/>
    <n v="94"/>
    <n v="3"/>
    <s v="Carrier A"/>
    <n v="4.7426358828418698"/>
    <x v="3"/>
    <s v="Chennai"/>
    <n v="20"/>
    <n v="694"/>
    <n v="16"/>
    <n v="82.373320587990193"/>
    <s v="Fail"/>
    <n v="3.64645086541702"/>
    <x v="0"/>
    <s v="Route C"/>
    <n v="477.30763109090299"/>
    <n v="1989.0719974294748"/>
    <n v="0.77896042159646883"/>
    <x v="19"/>
  </r>
  <r>
    <x v="1"/>
    <x v="20"/>
    <n v="96.341072439963298"/>
    <n v="22"/>
    <n v="320"/>
    <n v="8128.0276968511898"/>
    <s v="Unknown"/>
    <n v="27"/>
    <n v="12"/>
    <n v="68"/>
    <n v="6"/>
    <s v="Carrier A"/>
    <n v="8.8783346509268402"/>
    <x v="1"/>
    <s v="Chennai"/>
    <n v="29"/>
    <n v="309"/>
    <n v="6"/>
    <n v="65.686259608488598"/>
    <s v="Pass"/>
    <n v="4.2314165735345304"/>
    <x v="1"/>
    <s v="Route B"/>
    <n v="493.871215316205"/>
    <n v="7559.5918872755692"/>
    <n v="0.93006473024251213"/>
    <x v="20"/>
  </r>
  <r>
    <x v="2"/>
    <x v="21"/>
    <n v="84.893868984950799"/>
    <n v="60"/>
    <n v="601"/>
    <n v="7087.0526963574302"/>
    <s v="Unknown"/>
    <n v="69"/>
    <n v="25"/>
    <n v="7"/>
    <n v="6"/>
    <s v="Carrier B"/>
    <n v="6.0378837692182898"/>
    <x v="2"/>
    <s v="Chennai"/>
    <n v="19"/>
    <n v="791"/>
    <n v="4"/>
    <n v="61.735728954160898"/>
    <s v="Pending"/>
    <n v="1.8607567631014899E-2"/>
    <x v="1"/>
    <s v="Route C"/>
    <n v="523.36091472015801"/>
    <n v="6495.9181689138941"/>
    <n v="0.91658951149786638"/>
    <x v="21"/>
  </r>
  <r>
    <x v="0"/>
    <x v="22"/>
    <n v="27.679780886501899"/>
    <n v="55"/>
    <n v="884"/>
    <n v="2390.8078665561702"/>
    <s v="Unknown"/>
    <n v="71"/>
    <n v="1"/>
    <n v="63"/>
    <n v="10"/>
    <s v="Carrier A"/>
    <n v="9.5676489209230393"/>
    <x v="3"/>
    <s v="Kolkata"/>
    <n v="22"/>
    <n v="780"/>
    <n v="28"/>
    <n v="50.120839612977299"/>
    <s v="Fail"/>
    <n v="2.5912754732111098"/>
    <x v="2"/>
    <s v="Route C"/>
    <n v="205.57199582694699"/>
    <n v="2125.5473821953228"/>
    <n v="0.88904985295077654"/>
    <x v="22"/>
  </r>
  <r>
    <x v="2"/>
    <x v="23"/>
    <n v="4.3243411858641601"/>
    <n v="30"/>
    <n v="391"/>
    <n v="8858.3675710114803"/>
    <s v="Unknown"/>
    <n v="84"/>
    <n v="5"/>
    <n v="29"/>
    <n v="7"/>
    <s v="Carrier A"/>
    <n v="2.92485760114555"/>
    <x v="2"/>
    <s v="Kolkata"/>
    <n v="11"/>
    <n v="568"/>
    <n v="29"/>
    <n v="98.6099572427038"/>
    <s v="Pending"/>
    <n v="1.3422915627227301"/>
    <x v="2"/>
    <s v="Route A"/>
    <n v="196.329446112412"/>
    <n v="8560.5033100552191"/>
    <n v="0.96637481357953514"/>
    <x v="23"/>
  </r>
  <r>
    <x v="0"/>
    <x v="24"/>
    <n v="4.1563083593111001"/>
    <n v="32"/>
    <n v="209"/>
    <n v="9049.0778609398894"/>
    <s v="Male"/>
    <n v="4"/>
    <n v="26"/>
    <n v="2"/>
    <n v="8"/>
    <s v="Carrier C"/>
    <n v="9.7412916892843597"/>
    <x v="4"/>
    <s v="Bangalore"/>
    <n v="28"/>
    <n v="447"/>
    <n v="3"/>
    <n v="40.382359702924802"/>
    <s v="Pending"/>
    <n v="3.69131029262872"/>
    <x v="1"/>
    <s v="Route A"/>
    <n v="758.72477260293795"/>
    <n v="8240.2294369447427"/>
    <n v="0.91061537579574603"/>
    <x v="24"/>
  </r>
  <r>
    <x v="0"/>
    <x v="25"/>
    <n v="39.629343985092603"/>
    <n v="73"/>
    <n v="142"/>
    <n v="2174.7770543506499"/>
    <s v="Male"/>
    <n v="82"/>
    <n v="11"/>
    <n v="52"/>
    <n v="3"/>
    <s v="Carrier C"/>
    <n v="2.2310736812817198"/>
    <x v="3"/>
    <s v="Kolkata"/>
    <n v="19"/>
    <n v="934"/>
    <n v="23"/>
    <n v="78.280383118415301"/>
    <s v="Pending"/>
    <n v="3.79723121711418"/>
    <x v="0"/>
    <s v="Route B"/>
    <n v="458.53594573920901"/>
    <n v="1635.7296518117437"/>
    <n v="0.7521367068589675"/>
    <x v="25"/>
  </r>
  <r>
    <x v="0"/>
    <x v="26"/>
    <n v="97.446946617892806"/>
    <n v="9"/>
    <n v="353"/>
    <n v="3716.49332589403"/>
    <s v="Male"/>
    <n v="59"/>
    <n v="16"/>
    <n v="48"/>
    <n v="4"/>
    <s v="Carrier B"/>
    <n v="6.5075486210785503"/>
    <x v="4"/>
    <s v="Bangalore"/>
    <n v="26"/>
    <n v="171"/>
    <n v="4"/>
    <n v="15.972229757181699"/>
    <s v="Pass"/>
    <n v="2.1193197367249201"/>
    <x v="2"/>
    <s v="Route A"/>
    <n v="617.86691645837698"/>
    <n v="3076.1466310573928"/>
    <n v="0.8277013736644887"/>
    <x v="26"/>
  </r>
  <r>
    <x v="2"/>
    <x v="27"/>
    <n v="92.557360812401996"/>
    <n v="42"/>
    <n v="352"/>
    <n v="2686.4572235759802"/>
    <s v="Unknown"/>
    <n v="47"/>
    <n v="9"/>
    <n v="62"/>
    <n v="8"/>
    <s v="Carrier C"/>
    <n v="7.4067509529980704"/>
    <x v="2"/>
    <s v="Mumbai"/>
    <n v="25"/>
    <n v="291"/>
    <n v="4"/>
    <n v="10.5282450700421"/>
    <s v="Fail"/>
    <n v="2.8646678378833701"/>
    <x v="3"/>
    <s v="Route B"/>
    <n v="762.45918215568304"/>
    <n v="1906.0630453972567"/>
    <n v="0.70950805718025545"/>
    <x v="27"/>
  </r>
  <r>
    <x v="2"/>
    <x v="28"/>
    <n v="2.3972747055971402"/>
    <n v="12"/>
    <n v="394"/>
    <n v="6117.3246150839896"/>
    <s v="Female"/>
    <n v="48"/>
    <n v="15"/>
    <n v="24"/>
    <n v="4"/>
    <s v="Carrier B"/>
    <n v="9.8981405080692202"/>
    <x v="1"/>
    <s v="Mumbai"/>
    <n v="13"/>
    <n v="171"/>
    <n v="7"/>
    <n v="59.429381810691503"/>
    <s v="Fail"/>
    <n v="0.81575707929567198"/>
    <x v="1"/>
    <s v="Route A"/>
    <n v="123.437027511827"/>
    <n v="5924.5600652534013"/>
    <n v="0.96848874925563488"/>
    <x v="28"/>
  </r>
  <r>
    <x v="2"/>
    <x v="29"/>
    <n v="63.447559185207297"/>
    <n v="3"/>
    <n v="253"/>
    <n v="8318.9031946171708"/>
    <s v="Female"/>
    <n v="45"/>
    <n v="5"/>
    <n v="67"/>
    <n v="7"/>
    <s v="Carrier B"/>
    <n v="8.1009731453970293"/>
    <x v="1"/>
    <s v="Kolkata"/>
    <n v="16"/>
    <n v="329"/>
    <n v="7"/>
    <n v="39.292875586065698"/>
    <s v="Pass"/>
    <n v="3.8780989365884802"/>
    <x v="0"/>
    <s v="Route B"/>
    <n v="764.93537594070801"/>
    <n v="7506.5739699449996"/>
    <n v="0.90235140310350082"/>
    <x v="29"/>
  </r>
  <r>
    <x v="0"/>
    <x v="30"/>
    <n v="8.0228592105263896"/>
    <n v="10"/>
    <n v="327"/>
    <n v="2766.3423668660798"/>
    <s v="Male"/>
    <n v="60"/>
    <n v="26"/>
    <n v="35"/>
    <n v="7"/>
    <s v="Carrier B"/>
    <n v="8.9545283153180097"/>
    <x v="3"/>
    <s v="Kolkata"/>
    <n v="27"/>
    <n v="806"/>
    <n v="30"/>
    <n v="51.634893400109299"/>
    <s v="Pending"/>
    <n v="0.96539470535239302"/>
    <x v="0"/>
    <s v="Route C"/>
    <n v="880.08098824716103"/>
    <n v="1825.6719569034915"/>
    <n v="0.65995878846035594"/>
    <x v="30"/>
  </r>
  <r>
    <x v="1"/>
    <x v="31"/>
    <n v="50.847393051718697"/>
    <n v="28"/>
    <n v="168"/>
    <n v="9655.1351027193905"/>
    <s v="Male"/>
    <n v="6"/>
    <n v="17"/>
    <n v="44"/>
    <n v="4"/>
    <s v="Carrier B"/>
    <n v="2.6796609649813998"/>
    <x v="0"/>
    <s v="Chennai"/>
    <n v="24"/>
    <n v="461"/>
    <n v="8"/>
    <n v="60.251145661598002"/>
    <s v="Pending"/>
    <n v="2.9890000066550702"/>
    <x v="2"/>
    <s v="Route C"/>
    <n v="609.379206618426"/>
    <n v="8982.8250894743869"/>
    <n v="0.93036762240068027"/>
    <x v="31"/>
  </r>
  <r>
    <x v="1"/>
    <x v="32"/>
    <n v="79.209936015656695"/>
    <n v="43"/>
    <n v="781"/>
    <n v="9571.5504873278096"/>
    <s v="Unknown"/>
    <n v="89"/>
    <n v="13"/>
    <n v="64"/>
    <n v="4"/>
    <s v="Carrier C"/>
    <n v="6.5991049012385803"/>
    <x v="0"/>
    <s v="Kolkata"/>
    <n v="30"/>
    <n v="737"/>
    <n v="7"/>
    <n v="29.6924671537497"/>
    <s v="Pass"/>
    <n v="1.94603611938611"/>
    <x v="0"/>
    <s v="Route A"/>
    <n v="761.17390951487698"/>
    <n v="8774.0850057579446"/>
    <n v="0.91668377211971408"/>
    <x v="32"/>
  </r>
  <r>
    <x v="2"/>
    <x v="33"/>
    <n v="64.795435000155607"/>
    <n v="63"/>
    <n v="616"/>
    <n v="5149.9983504080301"/>
    <s v="Non-binary"/>
    <n v="4"/>
    <n v="17"/>
    <n v="95"/>
    <n v="9"/>
    <s v="Carrier C"/>
    <n v="4.85827050343664"/>
    <x v="2"/>
    <s v="Chennai"/>
    <n v="1"/>
    <n v="251"/>
    <n v="23"/>
    <n v="23.853427512896101"/>
    <s v="Fail"/>
    <n v="3.54104601225092"/>
    <x v="3"/>
    <s v="Route A"/>
    <n v="371.25529551987103"/>
    <n v="4750.0313568718266"/>
    <n v="0.92233648123314171"/>
    <x v="33"/>
  </r>
  <r>
    <x v="1"/>
    <x v="34"/>
    <n v="37.467592329842397"/>
    <n v="96"/>
    <n v="602"/>
    <n v="9061.7108955077201"/>
    <s v="Unknown"/>
    <n v="1"/>
    <n v="26"/>
    <n v="21"/>
    <n v="7"/>
    <s v="Carrier A"/>
    <n v="1.0194875708221101"/>
    <x v="1"/>
    <s v="Chennai"/>
    <n v="4"/>
    <n v="452"/>
    <n v="10"/>
    <n v="10.754272815029299"/>
    <s v="Pass"/>
    <n v="0.64660455937205397"/>
    <x v="0"/>
    <s v="Route B"/>
    <n v="510.35800043352299"/>
    <n v="8539.5791346883452"/>
    <n v="0.94238044373295793"/>
    <x v="34"/>
  </r>
  <r>
    <x v="2"/>
    <x v="35"/>
    <n v="84.957786816350406"/>
    <n v="11"/>
    <n v="449"/>
    <n v="6541.3293448024597"/>
    <s v="Female"/>
    <n v="42"/>
    <n v="27"/>
    <n v="85"/>
    <n v="8"/>
    <s v="Carrier C"/>
    <n v="5.2881899903273997"/>
    <x v="1"/>
    <s v="Delhi"/>
    <n v="3"/>
    <n v="367"/>
    <n v="2"/>
    <n v="58.004787044743701"/>
    <s v="Pass"/>
    <n v="0.54115409806058101"/>
    <x v="3"/>
    <s v="Route C"/>
    <n v="553.42047123035502"/>
    <n v="5924.6158965370332"/>
    <n v="0.90572047121347776"/>
    <x v="35"/>
  </r>
  <r>
    <x v="1"/>
    <x v="36"/>
    <n v="9.81300257875405"/>
    <n v="34"/>
    <n v="963"/>
    <n v="7573.4024578487297"/>
    <s v="Female"/>
    <n v="18"/>
    <n v="23"/>
    <n v="28"/>
    <n v="3"/>
    <s v="Carrier B"/>
    <n v="2.1079512671590801"/>
    <x v="4"/>
    <s v="Delhi"/>
    <n v="26"/>
    <n v="671"/>
    <n v="19"/>
    <n v="45.531364237162101"/>
    <s v="Fail"/>
    <n v="3.8055333792433501"/>
    <x v="1"/>
    <s v="Route C"/>
    <n v="403.80897424817999"/>
    <n v="7121.9541680962284"/>
    <n v="0.94039029455187073"/>
    <x v="36"/>
  </r>
  <r>
    <x v="1"/>
    <x v="37"/>
    <n v="23.3998447526143"/>
    <n v="5"/>
    <n v="963"/>
    <n v="2438.3399304700201"/>
    <s v="Female"/>
    <n v="25"/>
    <n v="8"/>
    <n v="21"/>
    <n v="9"/>
    <s v="Carrier A"/>
    <n v="1.53265527359043"/>
    <x v="0"/>
    <s v="Kolkata"/>
    <n v="24"/>
    <n v="867"/>
    <n v="15"/>
    <n v="34.343277465075303"/>
    <s v="Pending"/>
    <n v="2.61028808484811"/>
    <x v="3"/>
    <s v="Route A"/>
    <n v="183.932968043594"/>
    <n v="2218.5310296877601"/>
    <n v="0.9098530528760651"/>
    <x v="37"/>
  </r>
  <r>
    <x v="2"/>
    <x v="38"/>
    <n v="52.075930682707799"/>
    <n v="75"/>
    <n v="705"/>
    <n v="9692.3180402184298"/>
    <s v="Non-binary"/>
    <n v="69"/>
    <n v="1"/>
    <n v="88"/>
    <n v="5"/>
    <s v="Carrier B"/>
    <n v="9.2359314372492207"/>
    <x v="2"/>
    <s v="Mumbai"/>
    <n v="10"/>
    <n v="841"/>
    <n v="12"/>
    <n v="5.9306936455283097"/>
    <s v="Pending"/>
    <n v="0.613326899164507"/>
    <x v="1"/>
    <s v="Route B"/>
    <n v="339.67286994860598"/>
    <n v="9337.4785451870448"/>
    <n v="0.96338961499622966"/>
    <x v="38"/>
  </r>
  <r>
    <x v="1"/>
    <x v="39"/>
    <n v="19.127477265823199"/>
    <n v="26"/>
    <n v="176"/>
    <n v="1912.4656631007599"/>
    <s v="Female"/>
    <n v="78"/>
    <n v="29"/>
    <n v="34"/>
    <n v="3"/>
    <s v="Carrier A"/>
    <n v="5.5625037788303802"/>
    <x v="4"/>
    <s v="Kolkata"/>
    <n v="30"/>
    <n v="791"/>
    <n v="6"/>
    <n v="9.0058074287816403"/>
    <s v="Fail"/>
    <n v="1.4519722039968099"/>
    <x v="1"/>
    <s v="Route B"/>
    <n v="653.67299455203295"/>
    <n v="1244.2243573411147"/>
    <n v="0.65058650795528639"/>
    <x v="39"/>
  </r>
  <r>
    <x v="1"/>
    <x v="40"/>
    <n v="80.541424170940303"/>
    <n v="97"/>
    <n v="933"/>
    <n v="5724.9593504562599"/>
    <s v="Female"/>
    <n v="90"/>
    <n v="20"/>
    <n v="39"/>
    <n v="8"/>
    <s v="Carrier C"/>
    <n v="7.2295951397364702"/>
    <x v="1"/>
    <s v="Kolkata"/>
    <n v="18"/>
    <n v="793"/>
    <n v="1"/>
    <n v="88.179407104217404"/>
    <s v="Pending"/>
    <n v="4.2132694305865597"/>
    <x v="0"/>
    <s v="Route A"/>
    <n v="529.80872398069096"/>
    <n v="5099.7416242316149"/>
    <n v="0.89079088811786633"/>
    <x v="40"/>
  </r>
  <r>
    <x v="1"/>
    <x v="41"/>
    <n v="99.113291615317095"/>
    <n v="35"/>
    <n v="556"/>
    <n v="5521.2052590109697"/>
    <s v="Female"/>
    <n v="64"/>
    <n v="19"/>
    <n v="38"/>
    <n v="8"/>
    <s v="Carrier B"/>
    <n v="5.7732637437666501"/>
    <x v="3"/>
    <s v="Chennai"/>
    <n v="18"/>
    <n v="892"/>
    <n v="7"/>
    <n v="95.332064548772493"/>
    <s v="Fail"/>
    <n v="4.5302262398259602E-2"/>
    <x v="3"/>
    <s v="Route A"/>
    <n v="275.52437113130901"/>
    <n v="5144.5755595871215"/>
    <n v="0.93178487635300933"/>
    <x v="41"/>
  </r>
  <r>
    <x v="1"/>
    <x v="42"/>
    <n v="46.529167614516702"/>
    <n v="98"/>
    <n v="155"/>
    <n v="1839.60942585676"/>
    <s v="Female"/>
    <n v="22"/>
    <n v="27"/>
    <n v="57"/>
    <n v="4"/>
    <s v="Carrier C"/>
    <n v="7.5262483268515004"/>
    <x v="2"/>
    <s v="Bangalore"/>
    <n v="26"/>
    <n v="179"/>
    <n v="7"/>
    <n v="96.422820639571796"/>
    <s v="Fail"/>
    <n v="4.9392552886209398"/>
    <x v="0"/>
    <s v="Route A"/>
    <n v="635.65712050199102"/>
    <n v="1100.0032363883456"/>
    <n v="0.59795477285948451"/>
    <x v="42"/>
  </r>
  <r>
    <x v="0"/>
    <x v="43"/>
    <n v="11.7432717763092"/>
    <n v="6"/>
    <n v="598"/>
    <n v="5737.4255991190203"/>
    <s v="Unknown"/>
    <n v="36"/>
    <n v="29"/>
    <n v="85"/>
    <n v="9"/>
    <s v="Carrier B"/>
    <n v="3.6940212683884499"/>
    <x v="2"/>
    <s v="Mumbai"/>
    <n v="1"/>
    <n v="206"/>
    <n v="23"/>
    <n v="26.2773659573324"/>
    <s v="Pending"/>
    <n v="0.37230476798509698"/>
    <x v="1"/>
    <s v="Route A"/>
    <n v="716.04411975933999"/>
    <n v="4991.4100921339596"/>
    <n v="0.86997382465410777"/>
    <x v="43"/>
  </r>
  <r>
    <x v="2"/>
    <x v="44"/>
    <n v="51.355790913110297"/>
    <n v="34"/>
    <n v="919"/>
    <n v="7152.28604943551"/>
    <s v="Female"/>
    <n v="13"/>
    <n v="19"/>
    <n v="72"/>
    <n v="6"/>
    <s v="Carrier C"/>
    <n v="7.5774496573766896"/>
    <x v="4"/>
    <s v="Delhi"/>
    <n v="7"/>
    <n v="834"/>
    <n v="18"/>
    <n v="22.554106620887701"/>
    <s v="Fail"/>
    <n v="2.9626263204548802"/>
    <x v="2"/>
    <s v="Route A"/>
    <n v="610.45326961922694"/>
    <n v="6511.701223538018"/>
    <n v="0.91043635259134392"/>
    <x v="44"/>
  </r>
  <r>
    <x v="0"/>
    <x v="45"/>
    <n v="33.784138033065503"/>
    <n v="1"/>
    <n v="24"/>
    <n v="5267.9568075105199"/>
    <s v="Male"/>
    <n v="93"/>
    <n v="7"/>
    <n v="52"/>
    <n v="6"/>
    <s v="Carrier B"/>
    <n v="5.2151550087119096"/>
    <x v="4"/>
    <s v="Chennai"/>
    <n v="25"/>
    <n v="794"/>
    <n v="25"/>
    <n v="66.312544439991598"/>
    <s v="Pass"/>
    <n v="3.2196046120841002"/>
    <x v="2"/>
    <s v="Route A"/>
    <n v="495.30569702847299"/>
    <n v="4701.1234110333426"/>
    <n v="0.89239976385739461"/>
    <x v="45"/>
  </r>
  <r>
    <x v="0"/>
    <x v="46"/>
    <n v="27.082207199888899"/>
    <n v="75"/>
    <n v="859"/>
    <n v="2556.7673606335902"/>
    <s v="Non-binary"/>
    <n v="92"/>
    <n v="29"/>
    <n v="6"/>
    <n v="8"/>
    <s v="Carrier B"/>
    <n v="4.0709558370840799"/>
    <x v="0"/>
    <s v="Chennai"/>
    <n v="18"/>
    <n v="870"/>
    <n v="23"/>
    <n v="77.322353211051606"/>
    <s v="Pending"/>
    <n v="3.6486105925361998"/>
    <x v="0"/>
    <s v="Route B"/>
    <n v="380.43593711196399"/>
    <n v="2094.9381144734907"/>
    <n v="0.81936986005419987"/>
    <x v="46"/>
  </r>
  <r>
    <x v="1"/>
    <x v="47"/>
    <n v="95.712135880936003"/>
    <n v="93"/>
    <n v="910"/>
    <n v="7089.4742499341801"/>
    <s v="Male"/>
    <n v="4"/>
    <n v="15"/>
    <n v="51"/>
    <n v="9"/>
    <s v="Carrier B"/>
    <n v="8.9787507559499709"/>
    <x v="1"/>
    <s v="Kolkata"/>
    <n v="10"/>
    <n v="964"/>
    <n v="20"/>
    <n v="19.7129929112936"/>
    <s v="Pending"/>
    <n v="0.38057358671321301"/>
    <x v="2"/>
    <s v="Route A"/>
    <n v="581.60235505058597"/>
    <n v="6479.1801512163502"/>
    <n v="0.91391546436274929"/>
    <x v="47"/>
  </r>
  <r>
    <x v="0"/>
    <x v="48"/>
    <n v="76.035544426891704"/>
    <n v="28"/>
    <n v="29"/>
    <n v="7397.0710045871801"/>
    <s v="Non-binary"/>
    <n v="30"/>
    <n v="16"/>
    <n v="9"/>
    <n v="3"/>
    <s v="Carrier C"/>
    <n v="7.0958331565551296"/>
    <x v="4"/>
    <s v="Mumbai"/>
    <n v="9"/>
    <n v="109"/>
    <n v="18"/>
    <n v="23.126363582464698"/>
    <s v="Fail"/>
    <n v="1.6981125407144"/>
    <x v="2"/>
    <s v="Route B"/>
    <n v="768.65191395437"/>
    <n v="6598.1968938937907"/>
    <n v="0.89200129210629719"/>
    <x v="48"/>
  </r>
  <r>
    <x v="2"/>
    <x v="49"/>
    <n v="78.897913205639995"/>
    <n v="19"/>
    <n v="99"/>
    <n v="8001.6132065190004"/>
    <s v="Unknown"/>
    <n v="97"/>
    <n v="24"/>
    <n v="9"/>
    <n v="6"/>
    <s v="Carrier C"/>
    <n v="2.5056210329009101"/>
    <x v="2"/>
    <s v="Delhi"/>
    <n v="28"/>
    <n v="177"/>
    <n v="28"/>
    <n v="14.1478154439792"/>
    <s v="Pass"/>
    <n v="2.8258139854001301"/>
    <x v="2"/>
    <s v="Route A"/>
    <n v="336.89016851997701"/>
    <n v="7648.0696015221429"/>
    <n v="0.95581595912324013"/>
    <x v="49"/>
  </r>
  <r>
    <x v="2"/>
    <x v="50"/>
    <n v="14.203484264803"/>
    <n v="91"/>
    <n v="633"/>
    <n v="5910.8853896688897"/>
    <s v="Female"/>
    <n v="31"/>
    <n v="23"/>
    <n v="82"/>
    <n v="10"/>
    <s v="Carrier A"/>
    <n v="6.2478609149759903"/>
    <x v="4"/>
    <s v="Delhi"/>
    <n v="20"/>
    <n v="306"/>
    <n v="21"/>
    <n v="45.178757924634503"/>
    <s v="Fail"/>
    <n v="4.7548008046711798"/>
    <x v="2"/>
    <s v="Route B"/>
    <n v="496.24865029194001"/>
    <n v="5363.2101205373392"/>
    <n v="0.90734463062187209"/>
    <x v="50"/>
  </r>
  <r>
    <x v="0"/>
    <x v="51"/>
    <n v="26.700760972461701"/>
    <n v="61"/>
    <n v="154"/>
    <n v="9866.4654579796897"/>
    <s v="Male"/>
    <n v="100"/>
    <n v="4"/>
    <n v="52"/>
    <n v="1"/>
    <s v="Carrier A"/>
    <n v="4.78300055794766"/>
    <x v="2"/>
    <s v="Bangalore"/>
    <n v="18"/>
    <n v="673"/>
    <n v="28"/>
    <n v="14.190328344569901"/>
    <s v="Pending"/>
    <n v="1.77295117208355"/>
    <x v="0"/>
    <s v="Route A"/>
    <n v="694.98231757944495"/>
    <n v="9152.5098114977282"/>
    <n v="0.92763815476549039"/>
    <x v="51"/>
  </r>
  <r>
    <x v="1"/>
    <x v="52"/>
    <n v="98.031829656465007"/>
    <n v="1"/>
    <n v="820"/>
    <n v="9435.7626089121295"/>
    <s v="Male"/>
    <n v="64"/>
    <n v="11"/>
    <n v="11"/>
    <n v="1"/>
    <s v="Carrier B"/>
    <n v="8.6310521797689397"/>
    <x v="1"/>
    <s v="Mumbai"/>
    <n v="10"/>
    <n v="727"/>
    <n v="27"/>
    <n v="9.1668491485971497"/>
    <s v="Pending"/>
    <n v="2.1224716191438202"/>
    <x v="1"/>
    <s v="Route C"/>
    <n v="602.89849883838303"/>
    <n v="8815.0662087453784"/>
    <n v="0.93421873505163222"/>
    <x v="52"/>
  </r>
  <r>
    <x v="1"/>
    <x v="53"/>
    <n v="30.3414707112142"/>
    <n v="93"/>
    <n v="242"/>
    <n v="8232.3348294258194"/>
    <s v="Male"/>
    <n v="96"/>
    <n v="25"/>
    <n v="54"/>
    <n v="3"/>
    <s v="Carrier B"/>
    <n v="1.0134865660958901"/>
    <x v="1"/>
    <s v="Delhi"/>
    <n v="1"/>
    <n v="631"/>
    <n v="17"/>
    <n v="83.344058991677898"/>
    <s v="Pending"/>
    <n v="1.41034757607602"/>
    <x v="1"/>
    <s v="Route B"/>
    <n v="750.73784066827"/>
    <n v="7397.2394431997745"/>
    <n v="0.89855910825674101"/>
    <x v="53"/>
  </r>
  <r>
    <x v="0"/>
    <x v="54"/>
    <n v="31.1462431602408"/>
    <n v="11"/>
    <n v="622"/>
    <n v="6088.0214799408504"/>
    <s v="Non-binary"/>
    <n v="33"/>
    <n v="22"/>
    <n v="61"/>
    <n v="3"/>
    <s v="Carrier B"/>
    <n v="4.3051034712876302"/>
    <x v="1"/>
    <s v="Kolkata"/>
    <n v="26"/>
    <n v="497"/>
    <n v="29"/>
    <n v="30.186023375822501"/>
    <s v="Pass"/>
    <n v="2.4787719755397402"/>
    <x v="0"/>
    <s v="Route B"/>
    <n v="814.06999658218695"/>
    <n v="5239.4603565115531"/>
    <n v="0.86061791565204171"/>
    <x v="54"/>
  </r>
  <r>
    <x v="0"/>
    <x v="55"/>
    <n v="79.855058340789398"/>
    <n v="16"/>
    <n v="701"/>
    <n v="2925.6751703038099"/>
    <s v="Male"/>
    <n v="97"/>
    <n v="11"/>
    <n v="11"/>
    <n v="5"/>
    <s v="Carrier A"/>
    <n v="5.0143649550309002"/>
    <x v="4"/>
    <s v="Delhi"/>
    <n v="27"/>
    <n v="918"/>
    <n v="5"/>
    <n v="30.323545256616502"/>
    <s v="Fail"/>
    <n v="4.5489196593963799"/>
    <x v="3"/>
    <s v="Route B"/>
    <n v="323.01292795247798"/>
    <n v="2567.3243321396844"/>
    <n v="0.87751516579781019"/>
    <x v="55"/>
  </r>
  <r>
    <x v="1"/>
    <x v="56"/>
    <n v="20.9863860370433"/>
    <n v="90"/>
    <n v="93"/>
    <n v="4767.0204843441297"/>
    <s v="Non-binary"/>
    <n v="25"/>
    <n v="23"/>
    <n v="83"/>
    <n v="5"/>
    <s v="Carrier C"/>
    <n v="1.77442971407173"/>
    <x v="1"/>
    <s v="Mumbai"/>
    <n v="24"/>
    <n v="826"/>
    <n v="28"/>
    <n v="12.8362845728327"/>
    <s v="Pass"/>
    <n v="1.1737554953874501"/>
    <x v="1"/>
    <s v="Route B"/>
    <n v="832.210808706021"/>
    <n v="3920.1989613512046"/>
    <n v="0.82235832093147909"/>
    <x v="56"/>
  </r>
  <r>
    <x v="0"/>
    <x v="57"/>
    <n v="49.263205350734097"/>
    <n v="65"/>
    <n v="227"/>
    <n v="1605.8669003924001"/>
    <s v="Unknown"/>
    <n v="5"/>
    <n v="18"/>
    <n v="51"/>
    <n v="1"/>
    <s v="Carrier B"/>
    <n v="9.1605585353818704"/>
    <x v="4"/>
    <s v="Delhi"/>
    <n v="21"/>
    <n v="588"/>
    <n v="25"/>
    <n v="67.779622987078099"/>
    <s v="Pending"/>
    <n v="2.5111748302126999"/>
    <x v="2"/>
    <s v="Route A"/>
    <n v="482.19123860252802"/>
    <n v="1046.7354802674122"/>
    <n v="0.65181957484249664"/>
    <x v="57"/>
  </r>
  <r>
    <x v="1"/>
    <x v="58"/>
    <n v="59.841561377289302"/>
    <n v="81"/>
    <n v="896"/>
    <n v="2021.1498103371"/>
    <s v="Non-binary"/>
    <n v="10"/>
    <n v="5"/>
    <n v="44"/>
    <n v="7"/>
    <s v="Carrier A"/>
    <n v="4.9384385647120901"/>
    <x v="0"/>
    <s v="Delhi"/>
    <n v="18"/>
    <n v="396"/>
    <n v="7"/>
    <n v="65.047415094691402"/>
    <s v="Fail"/>
    <n v="1.7303747198591899"/>
    <x v="0"/>
    <s v="Route B"/>
    <n v="110.364335231364"/>
    <n v="1840.7996214463326"/>
    <n v="0.91076851999373198"/>
    <x v="58"/>
  </r>
  <r>
    <x v="2"/>
    <x v="59"/>
    <n v="63.828398347710902"/>
    <n v="30"/>
    <n v="484"/>
    <n v="1061.6185230132801"/>
    <s v="Non-binary"/>
    <n v="100"/>
    <n v="16"/>
    <n v="26"/>
    <n v="7"/>
    <s v="Carrier B"/>
    <n v="7.2937225968677204"/>
    <x v="1"/>
    <s v="Kolkata"/>
    <n v="11"/>
    <n v="176"/>
    <n v="4"/>
    <n v="1.90076224351945"/>
    <s v="Fail"/>
    <n v="0.44719401546382298"/>
    <x v="1"/>
    <s v="Route A"/>
    <n v="312.57427361009297"/>
    <n v="739.84976456280003"/>
    <n v="0.69690736222539051"/>
    <x v="59"/>
  </r>
  <r>
    <x v="1"/>
    <x v="60"/>
    <n v="17.028027920188698"/>
    <n v="16"/>
    <n v="380"/>
    <n v="8864.0843495864301"/>
    <s v="Female"/>
    <n v="41"/>
    <n v="27"/>
    <n v="72"/>
    <n v="8"/>
    <s v="Carrier C"/>
    <n v="4.3813681581023101"/>
    <x v="3"/>
    <s v="Mumbai"/>
    <n v="29"/>
    <n v="929"/>
    <n v="24"/>
    <n v="87.213057815135599"/>
    <s v="Fail"/>
    <n v="2.8530906166490499"/>
    <x v="2"/>
    <s v="Route A"/>
    <n v="430.16909697513597"/>
    <n v="8342.3208266380552"/>
    <n v="0.94113734680641681"/>
    <x v="60"/>
  </r>
  <r>
    <x v="0"/>
    <x v="61"/>
    <n v="52.028749903294901"/>
    <n v="23"/>
    <n v="117"/>
    <n v="6885.5893508962499"/>
    <s v="Unknown"/>
    <n v="32"/>
    <n v="23"/>
    <n v="36"/>
    <n v="7"/>
    <s v="Carrier C"/>
    <n v="9.0303404225219399"/>
    <x v="3"/>
    <s v="Kolkata"/>
    <n v="14"/>
    <n v="480"/>
    <n v="12"/>
    <n v="78.702393968878894"/>
    <s v="Fail"/>
    <n v="4.3674705382050503"/>
    <x v="1"/>
    <s v="Route A"/>
    <n v="164.366528243419"/>
    <n v="6633.4900882614293"/>
    <n v="0.96338740959014546"/>
    <x v="61"/>
  </r>
  <r>
    <x v="2"/>
    <x v="62"/>
    <n v="72.796353955587307"/>
    <n v="89"/>
    <n v="270"/>
    <n v="3899.7468337292198"/>
    <s v="Unknown"/>
    <n v="86"/>
    <n v="2"/>
    <n v="40"/>
    <n v="7"/>
    <s v="Carrier C"/>
    <n v="7.2917013887767697"/>
    <x v="4"/>
    <s v="Mumbai"/>
    <n v="13"/>
    <n v="751"/>
    <n v="14"/>
    <n v="21.048642725168602"/>
    <s v="Pass"/>
    <n v="1.87400140404437"/>
    <x v="3"/>
    <s v="Route C"/>
    <n v="320.84651575911101"/>
    <n v="3550.5599738561637"/>
    <n v="0.91045909522820523"/>
    <x v="62"/>
  </r>
  <r>
    <x v="1"/>
    <x v="63"/>
    <n v="13.0173767852878"/>
    <n v="55"/>
    <n v="246"/>
    <n v="4256.9491408502199"/>
    <s v="Non-binary"/>
    <n v="54"/>
    <n v="19"/>
    <n v="10"/>
    <n v="4"/>
    <s v="Carrier A"/>
    <n v="2.45793352798733"/>
    <x v="0"/>
    <s v="Bangalore"/>
    <n v="18"/>
    <n v="736"/>
    <n v="10"/>
    <n v="20.075003975630398"/>
    <s v="Pending"/>
    <n v="3.6328432903821302"/>
    <x v="3"/>
    <s v="Route A"/>
    <n v="687.28617786641701"/>
    <n v="3547.1300254801849"/>
    <n v="0.83325637871532887"/>
    <x v="63"/>
  </r>
  <r>
    <x v="1"/>
    <x v="64"/>
    <n v="89.634095608135297"/>
    <n v="11"/>
    <n v="134"/>
    <n v="8458.7308783671706"/>
    <s v="Female"/>
    <n v="73"/>
    <n v="27"/>
    <n v="75"/>
    <n v="6"/>
    <s v="Carrier C"/>
    <n v="4.5853534681946497"/>
    <x v="1"/>
    <s v="Delhi"/>
    <n v="17"/>
    <n v="328"/>
    <n v="6"/>
    <n v="8.6930424258772803"/>
    <s v="Fail"/>
    <n v="0.15948631471751401"/>
    <x v="1"/>
    <s v="Route C"/>
    <n v="771.225084681157"/>
    <n v="7674.2273977919413"/>
    <n v="0.90725517907401898"/>
    <x v="64"/>
  </r>
  <r>
    <x v="1"/>
    <x v="65"/>
    <n v="33.697717206643098"/>
    <n v="72"/>
    <n v="457"/>
    <n v="8354.5796864819895"/>
    <s v="Male"/>
    <n v="57"/>
    <n v="24"/>
    <n v="54"/>
    <n v="8"/>
    <s v="Carrier C"/>
    <n v="6.5805413478845898"/>
    <x v="2"/>
    <s v="Kolkata"/>
    <n v="16"/>
    <n v="358"/>
    <n v="21"/>
    <n v="1.59722274305067"/>
    <s v="Fail"/>
    <n v="4.9110959548423301"/>
    <x v="2"/>
    <s v="Route C"/>
    <n v="555.85910367174301"/>
    <n v="7790.542818719312"/>
    <n v="0.93248770268176273"/>
    <x v="65"/>
  </r>
  <r>
    <x v="1"/>
    <x v="66"/>
    <n v="26.034869773962001"/>
    <n v="52"/>
    <n v="704"/>
    <n v="8367.7216180201503"/>
    <s v="Female"/>
    <n v="13"/>
    <n v="17"/>
    <n v="19"/>
    <n v="8"/>
    <s v="Carrier A"/>
    <n v="2.2161427287713602"/>
    <x v="2"/>
    <s v="Kolkata"/>
    <n v="24"/>
    <n v="867"/>
    <n v="28"/>
    <n v="42.084436738309897"/>
    <s v="Fail"/>
    <n v="3.44806328834026"/>
    <x v="0"/>
    <s v="Route A"/>
    <n v="393.84334857842703"/>
    <n v="7929.5776899746415"/>
    <n v="0.9476388020483435"/>
    <x v="66"/>
  </r>
  <r>
    <x v="1"/>
    <x v="67"/>
    <n v="87.755432354001002"/>
    <n v="16"/>
    <n v="513"/>
    <n v="9473.7980325083299"/>
    <s v="Unknown"/>
    <n v="12"/>
    <n v="9"/>
    <n v="71"/>
    <n v="9"/>
    <s v="Carrier C"/>
    <n v="9.1478115447106294"/>
    <x v="1"/>
    <s v="Mumbai"/>
    <n v="10"/>
    <n v="198"/>
    <n v="11"/>
    <n v="7.0578761469782298"/>
    <s v="Pass"/>
    <n v="0.131955444311814"/>
    <x v="3"/>
    <s v="Route C"/>
    <n v="169.27180138478599"/>
    <n v="9288.3205434318552"/>
    <n v="0.98042205581752662"/>
    <x v="67"/>
  </r>
  <r>
    <x v="0"/>
    <x v="68"/>
    <n v="37.931812382790298"/>
    <n v="29"/>
    <n v="163"/>
    <n v="3550.21843278099"/>
    <s v="Non-binary"/>
    <n v="0"/>
    <n v="8"/>
    <n v="58"/>
    <n v="8"/>
    <s v="Carrier B"/>
    <n v="1.19425186488499"/>
    <x v="4"/>
    <s v="Bangalore"/>
    <n v="2"/>
    <n v="375"/>
    <n v="18"/>
    <n v="97.113581563462205"/>
    <s v="Fail"/>
    <n v="1.9834678721741801"/>
    <x v="2"/>
    <s v="Route A"/>
    <n v="299.70630311810299"/>
    <n v="3152.2042962345404"/>
    <n v="0.88789023997188998"/>
    <x v="68"/>
  </r>
  <r>
    <x v="1"/>
    <x v="69"/>
    <n v="54.865528517069698"/>
    <n v="62"/>
    <n v="511"/>
    <n v="1752.3810874841199"/>
    <s v="Non-binary"/>
    <n v="95"/>
    <n v="1"/>
    <n v="27"/>
    <n v="3"/>
    <s v="Carrier B"/>
    <n v="9.7052867901203399"/>
    <x v="3"/>
    <s v="Kolkata"/>
    <n v="9"/>
    <n v="862"/>
    <n v="7"/>
    <n v="77.627765812748095"/>
    <s v="Pending"/>
    <n v="1.3623879886490999"/>
    <x v="1"/>
    <s v="Route A"/>
    <n v="207.66320620857499"/>
    <n v="1457.3848286726763"/>
    <n v="0.83165975659154856"/>
    <x v="69"/>
  </r>
  <r>
    <x v="0"/>
    <x v="70"/>
    <n v="47.914541824058702"/>
    <n v="90"/>
    <n v="32"/>
    <n v="7014.8879872033804"/>
    <s v="Female"/>
    <n v="10"/>
    <n v="12"/>
    <n v="22"/>
    <n v="4"/>
    <s v="Carrier B"/>
    <n v="6.3157177546007199"/>
    <x v="1"/>
    <s v="Bangalore"/>
    <n v="22"/>
    <n v="775"/>
    <n v="16"/>
    <n v="11.440781823761199"/>
    <s v="Pass"/>
    <n v="1.8305755986122301"/>
    <x v="0"/>
    <s v="Route C"/>
    <n v="183.27289874871099"/>
    <n v="6813.8585888763073"/>
    <n v="0.97134246495542154"/>
    <x v="70"/>
  </r>
  <r>
    <x v="2"/>
    <x v="71"/>
    <n v="6.3815331627479601"/>
    <n v="14"/>
    <n v="637"/>
    <n v="8180.3370854254399"/>
    <s v="Female"/>
    <n v="76"/>
    <n v="2"/>
    <n v="26"/>
    <n v="6"/>
    <s v="Carrier A"/>
    <n v="9.2281903170525101"/>
    <x v="4"/>
    <s v="Bangalore"/>
    <n v="2"/>
    <n v="258"/>
    <n v="10"/>
    <n v="30.661677477859499"/>
    <s v="Pending"/>
    <n v="2.07875060787496"/>
    <x v="0"/>
    <s v="Route A"/>
    <n v="405.167067888855"/>
    <n v="7735.2801497416731"/>
    <n v="0.94559430362879471"/>
    <x v="71"/>
  </r>
  <r>
    <x v="2"/>
    <x v="72"/>
    <n v="90.204427520528"/>
    <n v="88"/>
    <n v="478"/>
    <n v="2633.1219813122502"/>
    <s v="Non-binary"/>
    <n v="57"/>
    <n v="29"/>
    <n v="77"/>
    <n v="9"/>
    <s v="Carrier A"/>
    <n v="6.5996141596895397"/>
    <x v="1"/>
    <s v="Bangalore"/>
    <n v="21"/>
    <n v="152"/>
    <n v="11"/>
    <n v="55.760492895244198"/>
    <s v="Pending"/>
    <n v="3.2133296074383"/>
    <x v="2"/>
    <s v="Route B"/>
    <n v="677.94456984618296"/>
    <n v="1892.8173044111334"/>
    <n v="0.71884907643656659"/>
    <x v="72"/>
  </r>
  <r>
    <x v="2"/>
    <x v="73"/>
    <n v="83.851017681304597"/>
    <n v="41"/>
    <n v="375"/>
    <n v="7910.8869161406801"/>
    <s v="Male"/>
    <n v="17"/>
    <n v="25"/>
    <n v="66"/>
    <n v="5"/>
    <s v="Carrier B"/>
    <n v="1.5129368369160701"/>
    <x v="3"/>
    <s v="Chennai"/>
    <n v="13"/>
    <n v="444"/>
    <n v="4"/>
    <n v="46.870238797617098"/>
    <s v="Fail"/>
    <n v="4.6205460645137002"/>
    <x v="0"/>
    <s v="Route A"/>
    <n v="866.472800129657"/>
    <n v="6996.0309403764895"/>
    <n v="0.88435481565314777"/>
    <x v="73"/>
  </r>
  <r>
    <x v="0"/>
    <x v="74"/>
    <n v="3.1700114135661499"/>
    <n v="64"/>
    <n v="904"/>
    <n v="5709.9452959692799"/>
    <s v="Female"/>
    <n v="41"/>
    <n v="6"/>
    <n v="1"/>
    <n v="5"/>
    <s v="Carrier A"/>
    <n v="5.2376546500374399"/>
    <x v="3"/>
    <s v="Delhi"/>
    <n v="1"/>
    <n v="919"/>
    <n v="9"/>
    <n v="80.580852156447804"/>
    <s v="Fail"/>
    <n v="0.39661272410993498"/>
    <x v="2"/>
    <s v="Route A"/>
    <n v="341.55265678322297"/>
    <n v="5282.5741323795719"/>
    <n v="0.92515319474402069"/>
    <x v="74"/>
  </r>
  <r>
    <x v="1"/>
    <x v="75"/>
    <n v="92.996884233970604"/>
    <n v="29"/>
    <n v="106"/>
    <n v="1889.07358977933"/>
    <s v="Non-binary"/>
    <n v="16"/>
    <n v="20"/>
    <n v="56"/>
    <n v="10"/>
    <s v="Carrier C"/>
    <n v="2.47389776104546"/>
    <x v="1"/>
    <s v="Chennai"/>
    <n v="25"/>
    <n v="759"/>
    <n v="11"/>
    <n v="48.064782640006499"/>
    <s v="Pass"/>
    <n v="2.0300690886687498"/>
    <x v="1"/>
    <s v="Route C"/>
    <n v="873.12964801765099"/>
    <n v="965.40526136062704"/>
    <n v="0.51104693146093894"/>
    <x v="75"/>
  </r>
  <r>
    <x v="0"/>
    <x v="76"/>
    <n v="69.108799547430294"/>
    <n v="23"/>
    <n v="241"/>
    <n v="5328.3759842977497"/>
    <s v="Male"/>
    <n v="38"/>
    <n v="1"/>
    <n v="22"/>
    <n v="10"/>
    <s v="Carrier A"/>
    <n v="7.0545383368369201"/>
    <x v="4"/>
    <s v="Bangalore"/>
    <n v="25"/>
    <n v="985"/>
    <n v="24"/>
    <n v="64.323597795600193"/>
    <s v="Pending"/>
    <n v="2.1800374515822099"/>
    <x v="2"/>
    <s v="Route A"/>
    <n v="997.41345013319403"/>
    <n v="4259.5843980321188"/>
    <n v="0.79941513335108771"/>
    <x v="76"/>
  </r>
  <r>
    <x v="0"/>
    <x v="77"/>
    <n v="57.449742958971399"/>
    <n v="14"/>
    <n v="359"/>
    <n v="2483.7601775427902"/>
    <s v="Unknown"/>
    <n v="96"/>
    <n v="28"/>
    <n v="57"/>
    <n v="4"/>
    <s v="Carrier B"/>
    <n v="6.7809466256178901"/>
    <x v="1"/>
    <s v="Kolkata"/>
    <n v="26"/>
    <n v="334"/>
    <n v="5"/>
    <n v="42.952444748991802"/>
    <s v="Pass"/>
    <n v="3.0551418183075398"/>
    <x v="0"/>
    <s v="Route B"/>
    <n v="852.56809891984994"/>
    <n v="1581.4586872483303"/>
    <n v="0.63671955994273322"/>
    <x v="77"/>
  </r>
  <r>
    <x v="0"/>
    <x v="78"/>
    <n v="6.30688317611191"/>
    <n v="50"/>
    <n v="946"/>
    <n v="1292.45841793775"/>
    <s v="Unknown"/>
    <n v="5"/>
    <n v="4"/>
    <n v="51"/>
    <n v="5"/>
    <s v="Carrier B"/>
    <n v="8.4670497708619905"/>
    <x v="2"/>
    <s v="Mumbai"/>
    <n v="25"/>
    <n v="858"/>
    <n v="21"/>
    <n v="71.126514720403307"/>
    <s v="Pending"/>
    <n v="4.0968813324704501"/>
    <x v="3"/>
    <s v="Route C"/>
    <n v="323.59220343132199"/>
    <n v="889.27265001516287"/>
    <n v="0.68804739686255334"/>
    <x v="78"/>
  </r>
  <r>
    <x v="0"/>
    <x v="79"/>
    <n v="57.057031221103202"/>
    <n v="56"/>
    <n v="198"/>
    <n v="7888.7232684270803"/>
    <s v="Non-binary"/>
    <n v="31"/>
    <n v="25"/>
    <n v="20"/>
    <n v="1"/>
    <s v="Carrier B"/>
    <n v="6.49632536429504"/>
    <x v="0"/>
    <s v="Bangalore"/>
    <n v="5"/>
    <n v="228"/>
    <n v="12"/>
    <n v="57.870902924036201"/>
    <s v="Pending"/>
    <n v="0.16587162748060799"/>
    <x v="1"/>
    <s v="Route C"/>
    <n v="351.50421933503799"/>
    <n v="7472.8518208037103"/>
    <n v="0.94728279425292983"/>
    <x v="79"/>
  </r>
  <r>
    <x v="1"/>
    <x v="80"/>
    <n v="91.128318350444303"/>
    <n v="75"/>
    <n v="872"/>
    <n v="8651.67268298206"/>
    <s v="Unknown"/>
    <n v="39"/>
    <n v="14"/>
    <n v="41"/>
    <n v="2"/>
    <s v="Carrier C"/>
    <n v="2.8331846794189701"/>
    <x v="0"/>
    <s v="Chennai"/>
    <n v="8"/>
    <n v="202"/>
    <n v="5"/>
    <n v="76.961228023819999"/>
    <s v="Fail"/>
    <n v="2.8496621985053299"/>
    <x v="3"/>
    <s v="Route B"/>
    <n v="787.77985049434403"/>
    <n v="7784.0984197844773"/>
    <n v="0.8997217884925176"/>
    <x v="80"/>
  </r>
  <r>
    <x v="0"/>
    <x v="81"/>
    <n v="72.819206930318202"/>
    <n v="9"/>
    <n v="774"/>
    <n v="4384.4134000458598"/>
    <s v="Unknown"/>
    <n v="48"/>
    <n v="6"/>
    <n v="8"/>
    <n v="5"/>
    <s v="Carrier B"/>
    <n v="4.0662775015120403"/>
    <x v="0"/>
    <s v="Delhi"/>
    <n v="28"/>
    <n v="698"/>
    <n v="1"/>
    <n v="19.789592941903599"/>
    <s v="Pending"/>
    <n v="2.54754712154871"/>
    <x v="2"/>
    <s v="Route B"/>
    <n v="276.77833594679799"/>
    <n v="4083.7791936556468"/>
    <n v="0.93143114506787417"/>
    <x v="81"/>
  </r>
  <r>
    <x v="1"/>
    <x v="82"/>
    <n v="17.034930739467899"/>
    <n v="13"/>
    <n v="336"/>
    <n v="2943.3818676094502"/>
    <s v="Unknown"/>
    <n v="42"/>
    <n v="19"/>
    <n v="72"/>
    <n v="1"/>
    <s v="Carrier A"/>
    <n v="4.7081818735419301"/>
    <x v="4"/>
    <s v="Mumbai"/>
    <n v="6"/>
    <n v="955"/>
    <n v="26"/>
    <n v="4.4652784349432402"/>
    <s v="Pending"/>
    <n v="4.1378770486223502"/>
    <x v="0"/>
    <s v="Route C"/>
    <n v="589.97855562804"/>
    <n v="2344.2298516729252"/>
    <n v="0.79644095027902617"/>
    <x v="2"/>
  </r>
  <r>
    <x v="0"/>
    <x v="83"/>
    <n v="68.911246211606297"/>
    <n v="82"/>
    <n v="663"/>
    <n v="2411.7546321104901"/>
    <s v="Unknown"/>
    <n v="65"/>
    <n v="24"/>
    <n v="7"/>
    <n v="8"/>
    <s v="Carrier B"/>
    <n v="4.94983957799694"/>
    <x v="1"/>
    <s v="Bangalore"/>
    <n v="20"/>
    <n v="443"/>
    <n v="5"/>
    <n v="97.730593800533001"/>
    <s v="Fail"/>
    <n v="0.77300613406724705"/>
    <x v="0"/>
    <s v="Route A"/>
    <n v="682.97101822609295"/>
    <n v="1626.1031805058674"/>
    <n v="0.67424072036834404"/>
    <x v="82"/>
  </r>
  <r>
    <x v="0"/>
    <x v="84"/>
    <n v="89.104367292102197"/>
    <n v="99"/>
    <n v="618"/>
    <n v="2048.2900998487098"/>
    <s v="Unknown"/>
    <n v="73"/>
    <n v="26"/>
    <n v="80"/>
    <n v="10"/>
    <s v="Carrier A"/>
    <n v="8.3816156249226292"/>
    <x v="2"/>
    <s v="Chennai"/>
    <n v="24"/>
    <n v="589"/>
    <n v="22"/>
    <n v="33.808636513209002"/>
    <s v="Pass"/>
    <n v="4.8434565771180402"/>
    <x v="1"/>
    <s v="Route B"/>
    <n v="465.45700596368698"/>
    <n v="1540.6428417468912"/>
    <n v="0.7521604688030693"/>
    <x v="83"/>
  </r>
  <r>
    <x v="2"/>
    <x v="85"/>
    <n v="76.962994415193805"/>
    <n v="83"/>
    <n v="25"/>
    <n v="8684.6130592538502"/>
    <s v="Female"/>
    <n v="15"/>
    <n v="18"/>
    <n v="66"/>
    <n v="2"/>
    <s v="Carrier C"/>
    <n v="8.2491687048717193"/>
    <x v="2"/>
    <s v="Chennai"/>
    <n v="4"/>
    <n v="211"/>
    <n v="2"/>
    <n v="69.929345518672307"/>
    <s v="Fail"/>
    <n v="1.3744289997457499"/>
    <x v="0"/>
    <s v="Route B"/>
    <n v="842.68683000464102"/>
    <n v="7763.7477150256655"/>
    <n v="0.89396587528479909"/>
    <x v="84"/>
  </r>
  <r>
    <x v="1"/>
    <x v="86"/>
    <n v="19.9981769404042"/>
    <n v="18"/>
    <n v="223"/>
    <n v="1229.59102856498"/>
    <s v="Unknown"/>
    <n v="32"/>
    <n v="14"/>
    <n v="22"/>
    <n v="6"/>
    <s v="Carrier B"/>
    <n v="1.4543053101535499"/>
    <x v="1"/>
    <s v="Mumbai"/>
    <n v="4"/>
    <n v="569"/>
    <n v="18"/>
    <n v="74.608969995194599"/>
    <s v="Pass"/>
    <n v="2.0515129307662399"/>
    <x v="2"/>
    <s v="Route A"/>
    <n v="264.25488983586598"/>
    <n v="889.2728634237659"/>
    <n v="0.72322653855209929"/>
    <x v="85"/>
  </r>
  <r>
    <x v="0"/>
    <x v="87"/>
    <n v="80.414036650355698"/>
    <n v="24"/>
    <n v="79"/>
    <n v="5133.8467010866898"/>
    <s v="Male"/>
    <n v="5"/>
    <n v="7"/>
    <n v="55"/>
    <n v="10"/>
    <s v="Carrier A"/>
    <n v="6.5758037975485299"/>
    <x v="0"/>
    <s v="Chennai"/>
    <n v="27"/>
    <n v="523"/>
    <n v="17"/>
    <n v="28.696996824143099"/>
    <s v="Fail"/>
    <n v="3.6937377878392699"/>
    <x v="3"/>
    <s v="Route B"/>
    <n v="879.35921773492396"/>
    <n v="4219.2146827300749"/>
    <n v="0.82184274840871008"/>
    <x v="86"/>
  </r>
  <r>
    <x v="2"/>
    <x v="88"/>
    <n v="75.270406975724995"/>
    <n v="58"/>
    <n v="737"/>
    <n v="9444.7420330629793"/>
    <s v="Male"/>
    <n v="60"/>
    <n v="18"/>
    <n v="85"/>
    <n v="7"/>
    <s v="Carrier A"/>
    <n v="3.8012531329310701"/>
    <x v="4"/>
    <s v="Mumbai"/>
    <n v="21"/>
    <n v="953"/>
    <n v="11"/>
    <n v="68.1849190570411"/>
    <s v="Pending"/>
    <n v="0.722204401882931"/>
    <x v="3"/>
    <s v="Route A"/>
    <n v="103.916247960704"/>
    <n v="9268.839612912303"/>
    <n v="0.98137562470897577"/>
    <x v="87"/>
  </r>
  <r>
    <x v="2"/>
    <x v="89"/>
    <n v="97.760085581938597"/>
    <n v="10"/>
    <n v="134"/>
    <n v="5924.6825668532301"/>
    <s v="Unknown"/>
    <n v="90"/>
    <n v="1"/>
    <n v="27"/>
    <n v="8"/>
    <s v="Carrier B"/>
    <n v="9.9298162452772498"/>
    <x v="1"/>
    <s v="Kolkata"/>
    <n v="23"/>
    <n v="370"/>
    <n v="11"/>
    <n v="46.603873381644398"/>
    <s v="Pending"/>
    <n v="1.9076657339590699"/>
    <x v="2"/>
    <s v="Route B"/>
    <n v="517.49997392906005"/>
    <n v="5350.6489032972495"/>
    <n v="0.903111490433678"/>
    <x v="88"/>
  </r>
  <r>
    <x v="1"/>
    <x v="90"/>
    <n v="13.881913501359101"/>
    <n v="56"/>
    <n v="320"/>
    <n v="9592.6335702803099"/>
    <s v="Non-binary"/>
    <n v="66"/>
    <n v="18"/>
    <n v="96"/>
    <n v="7"/>
    <s v="Carrier B"/>
    <n v="7.6744307081126903"/>
    <x v="0"/>
    <s v="Bangalore"/>
    <n v="8"/>
    <n v="585"/>
    <n v="8"/>
    <n v="85.675963335797903"/>
    <s v="Pass"/>
    <n v="1.2193822244013801"/>
    <x v="2"/>
    <s v="Route B"/>
    <n v="990.07847250581096"/>
    <n v="8509.2047037305874"/>
    <n v="0.88705616047855951"/>
    <x v="89"/>
  </r>
  <r>
    <x v="2"/>
    <x v="91"/>
    <n v="62.111965463961702"/>
    <n v="90"/>
    <n v="916"/>
    <n v="1935.20679350759"/>
    <s v="Male"/>
    <n v="98"/>
    <n v="22"/>
    <n v="85"/>
    <n v="7"/>
    <s v="Carrier B"/>
    <n v="7.4715140844011403"/>
    <x v="3"/>
    <s v="Delhi"/>
    <n v="5"/>
    <n v="207"/>
    <n v="28"/>
    <n v="39.772882502339897"/>
    <s v="Pending"/>
    <n v="0.62600185820939402"/>
    <x v="2"/>
    <s v="Route B"/>
    <n v="996.77831495062298"/>
    <n v="891.18408197022586"/>
    <n v="0.46051103425228368"/>
    <x v="90"/>
  </r>
  <r>
    <x v="2"/>
    <x v="92"/>
    <n v="47.714233075820196"/>
    <n v="44"/>
    <n v="276"/>
    <n v="2100.1297546259302"/>
    <s v="Male"/>
    <n v="90"/>
    <n v="25"/>
    <n v="10"/>
    <n v="8"/>
    <s v="Carrier B"/>
    <n v="4.4695000261236002"/>
    <x v="4"/>
    <s v="Mumbai"/>
    <n v="4"/>
    <n v="671"/>
    <n v="29"/>
    <n v="62.612690395614301"/>
    <s v="Pass"/>
    <n v="0.33343182522473902"/>
    <x v="2"/>
    <s v="Route B"/>
    <n v="230.092782536762"/>
    <n v="1802.9547816674303"/>
    <n v="0.85849685129982267"/>
    <x v="91"/>
  </r>
  <r>
    <x v="0"/>
    <x v="93"/>
    <n v="69.290831002905406"/>
    <n v="88"/>
    <n v="114"/>
    <n v="4531.4021336919004"/>
    <s v="Unknown"/>
    <n v="63"/>
    <n v="17"/>
    <n v="66"/>
    <n v="1"/>
    <s v="Carrier C"/>
    <n v="7.00643205900439"/>
    <x v="3"/>
    <s v="Chennai"/>
    <n v="21"/>
    <n v="824"/>
    <n v="20"/>
    <n v="35.633652343343797"/>
    <s v="Fail"/>
    <n v="4.1657817954241398"/>
    <x v="1"/>
    <s v="Route A"/>
    <n v="823.52384588815505"/>
    <n v="3665.2382034013972"/>
    <n v="0.80885299853429526"/>
    <x v="92"/>
  </r>
  <r>
    <x v="2"/>
    <x v="94"/>
    <n v="3.0376887246314102"/>
    <n v="97"/>
    <n v="987"/>
    <n v="7888.3565466618702"/>
    <s v="Unknown"/>
    <n v="77"/>
    <n v="26"/>
    <n v="72"/>
    <n v="9"/>
    <s v="Carrier B"/>
    <n v="6.9429459420325799"/>
    <x v="4"/>
    <s v="Delhi"/>
    <n v="12"/>
    <n v="908"/>
    <n v="14"/>
    <n v="60.387378614862101"/>
    <s v="Pass"/>
    <n v="1.4636074984727701"/>
    <x v="2"/>
    <s v="Route B"/>
    <n v="846.66525698669398"/>
    <n v="6974.3609651182815"/>
    <n v="0.88413358649079243"/>
    <x v="93"/>
  </r>
  <r>
    <x v="0"/>
    <x v="95"/>
    <n v="77.903927219447695"/>
    <n v="65"/>
    <n v="672"/>
    <n v="7386.3639440486604"/>
    <s v="Unknown"/>
    <n v="15"/>
    <n v="14"/>
    <n v="26"/>
    <n v="9"/>
    <s v="Carrier B"/>
    <n v="8.6303388696027508"/>
    <x v="3"/>
    <s v="Mumbai"/>
    <n v="18"/>
    <n v="450"/>
    <n v="26"/>
    <n v="58.890685768589897"/>
    <s v="Pending"/>
    <n v="1.21088212958506"/>
    <x v="1"/>
    <s v="Route A"/>
    <n v="778.86424137664699"/>
    <n v="6539.9786780338209"/>
    <n v="0.88541246106661331"/>
    <x v="94"/>
  </r>
  <r>
    <x v="2"/>
    <x v="96"/>
    <n v="24.423131420373299"/>
    <n v="29"/>
    <n v="324"/>
    <n v="7698.4247656321104"/>
    <s v="Non-binary"/>
    <n v="67"/>
    <n v="2"/>
    <n v="32"/>
    <n v="3"/>
    <s v="Carrier C"/>
    <n v="5.3528780439967996"/>
    <x v="0"/>
    <s v="Mumbai"/>
    <n v="28"/>
    <n v="648"/>
    <n v="28"/>
    <n v="17.803756331391199"/>
    <s v="Pending"/>
    <n v="3.8720476814821301"/>
    <x v="0"/>
    <s v="Route A"/>
    <n v="188.74214114905601"/>
    <n v="7486.525990107667"/>
    <n v="0.97247504756162351"/>
    <x v="95"/>
  </r>
  <r>
    <x v="0"/>
    <x v="97"/>
    <n v="3.5261112591434101"/>
    <n v="56"/>
    <n v="62"/>
    <n v="4370.9165799845296"/>
    <s v="Male"/>
    <n v="46"/>
    <n v="19"/>
    <n v="4"/>
    <n v="9"/>
    <s v="Carrier A"/>
    <n v="7.9048456112096703"/>
    <x v="3"/>
    <s v="Mumbai"/>
    <n v="10"/>
    <n v="535"/>
    <n v="13"/>
    <n v="65.765155926367399"/>
    <s v="Fail"/>
    <n v="3.3762378347179798"/>
    <x v="0"/>
    <s v="Route A"/>
    <n v="540.13242286796697"/>
    <n v="3757.1141555789859"/>
    <n v="0.85957123336183272"/>
    <x v="96"/>
  </r>
  <r>
    <x v="1"/>
    <x v="98"/>
    <n v="19.754604866878601"/>
    <n v="43"/>
    <n v="913"/>
    <n v="8525.9525596835192"/>
    <s v="Female"/>
    <n v="53"/>
    <n v="1"/>
    <n v="27"/>
    <n v="7"/>
    <s v="Carrier B"/>
    <n v="1.4098010951380699"/>
    <x v="2"/>
    <s v="Chennai"/>
    <n v="28"/>
    <n v="581"/>
    <n v="9"/>
    <n v="5.6046908643717801"/>
    <s v="Pending"/>
    <n v="2.9081221693512598"/>
    <x v="2"/>
    <s v="Route A"/>
    <n v="882.19886354704101"/>
    <n v="7636.7392041769681"/>
    <n v="0.89570510165499229"/>
    <x v="97"/>
  </r>
  <r>
    <x v="0"/>
    <x v="99"/>
    <n v="68.517832699276596"/>
    <n v="17"/>
    <n v="627"/>
    <n v="9185.1858291817007"/>
    <s v="Unknown"/>
    <n v="55"/>
    <n v="8"/>
    <n v="59"/>
    <n v="6"/>
    <s v="Carrier B"/>
    <n v="1.3110237561206199"/>
    <x v="4"/>
    <s v="Chennai"/>
    <n v="29"/>
    <n v="921"/>
    <n v="2"/>
    <n v="38.072898520625998"/>
    <s v="Fail"/>
    <n v="0.34602729070550298"/>
    <x v="2"/>
    <s v="Route B"/>
    <n v="210.743008964246"/>
    <n v="8935.0588979407075"/>
    <n v="0.97276844084674585"/>
    <x v="98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68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e v="#NAME?"/>
    <x v="100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  <r>
    <x v="3"/>
    <x v="100"/>
    <m/>
    <m/>
    <m/>
    <m/>
    <m/>
    <m/>
    <m/>
    <m/>
    <m/>
    <m/>
    <m/>
    <x v="5"/>
    <m/>
    <m/>
    <m/>
    <m/>
    <m/>
    <m/>
    <m/>
    <x v="4"/>
    <m/>
    <m/>
    <m/>
    <m/>
    <x v="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haircare"/>
    <s v="SKU0"/>
    <n v="69.808005542115694"/>
    <n v="55"/>
    <n v="802"/>
    <n v="8661.9967923923796"/>
    <x v="0"/>
    <n v="58"/>
    <n v="7"/>
    <n v="96"/>
    <n v="4"/>
    <s v="Carrier B"/>
    <n v="2.9565721394308002"/>
    <s v="Supplier 3"/>
    <s v="Mumbai"/>
    <n v="29"/>
    <n v="215"/>
    <n v="29"/>
    <n v="46.279879240508301"/>
    <s v="Pending"/>
    <n v="0.226410360849925"/>
    <x v="0"/>
    <s v="Route B"/>
    <n v="187.75207545920301"/>
    <n v="8425.0082655532387"/>
    <n v="0.97264042777673598"/>
    <n v="13.827586206896552"/>
    <n v="0"/>
  </r>
  <r>
    <s v="skincare"/>
    <s v="SKU1"/>
    <n v="14.8435232750843"/>
    <n v="95"/>
    <n v="736"/>
    <n v="7460.9000654458396"/>
    <x v="1"/>
    <n v="53"/>
    <n v="30"/>
    <n v="37"/>
    <n v="2"/>
    <s v="Carrier A"/>
    <n v="9.7165747714313095"/>
    <s v="Supplier 3"/>
    <s v="Mumbai"/>
    <n v="23"/>
    <n v="517"/>
    <n v="30"/>
    <n v="33.616768953730002"/>
    <s v="Pending"/>
    <n v="4.8540680263886999"/>
    <x v="0"/>
    <s v="Route B"/>
    <n v="503.06557914966902"/>
    <n v="6914.501142571009"/>
    <n v="0.92676501252102217"/>
    <n v="13.886792452830189"/>
    <n v="0"/>
  </r>
  <r>
    <s v="haircare"/>
    <s v="SKU2"/>
    <n v="11.319683293090501"/>
    <n v="34"/>
    <n v="8"/>
    <n v="9577.7496258687297"/>
    <x v="2"/>
    <n v="1"/>
    <n v="10"/>
    <n v="88"/>
    <n v="2"/>
    <s v="Carrier B"/>
    <n v="8.0544792617321495"/>
    <s v="Supplier 1"/>
    <s v="Mumbai"/>
    <n v="12"/>
    <n v="971"/>
    <n v="27"/>
    <n v="30.6880193482842"/>
    <s v="Pending"/>
    <n v="4.5805926191992201"/>
    <x v="1"/>
    <s v="Route C"/>
    <n v="141.920281771519"/>
    <n v="9397.0868454871925"/>
    <n v="0.9811372412687025"/>
    <n v="8"/>
    <n v="0"/>
  </r>
  <r>
    <s v="skincare"/>
    <s v="SKU3"/>
    <n v="61.1633430164377"/>
    <n v="68"/>
    <n v="83"/>
    <n v="7766.8364256852301"/>
    <x v="0"/>
    <n v="23"/>
    <n v="13"/>
    <n v="59"/>
    <n v="6"/>
    <s v="Carrier C"/>
    <n v="1.7295685635434199"/>
    <s v="Supplier 5"/>
    <s v="Kolkata"/>
    <n v="24"/>
    <n v="937"/>
    <n v="18"/>
    <n v="35.624741397125"/>
    <s v="Fail"/>
    <n v="4.7466486206477496"/>
    <x v="2"/>
    <s v="Route A"/>
    <n v="254.776159219286"/>
    <n v="7474.705956505275"/>
    <n v="0.96238745698134331"/>
    <n v="3.6086956521739131"/>
    <n v="0"/>
  </r>
  <r>
    <s v="skincare"/>
    <s v="SKU4"/>
    <n v="4.8054960363458896"/>
    <n v="26"/>
    <n v="871"/>
    <n v="2686.50515156744"/>
    <x v="0"/>
    <n v="5"/>
    <n v="3"/>
    <n v="56"/>
    <n v="8"/>
    <s v="Carrier A"/>
    <n v="3.8905479158706702"/>
    <s v="Supplier 1"/>
    <s v="Delhi"/>
    <n v="5"/>
    <n v="414"/>
    <n v="3"/>
    <n v="92.065160598712794"/>
    <s v="Fail"/>
    <n v="3.1455795228330001"/>
    <x v="1"/>
    <s v="Route A"/>
    <n v="923.44063171192204"/>
    <n v="1667.1088113409346"/>
    <n v="0.62054927025479956"/>
    <n v="174.2"/>
    <n v="0"/>
  </r>
  <r>
    <s v="haircare"/>
    <s v="SKU5"/>
    <n v="1.6999760138659299"/>
    <n v="87"/>
    <n v="147"/>
    <n v="2828.3487459757498"/>
    <x v="0"/>
    <n v="90"/>
    <n v="27"/>
    <n v="66"/>
    <n v="3"/>
    <s v="Carrier B"/>
    <n v="4.4440988643822896"/>
    <s v="Supplier 4"/>
    <s v="Bangalore"/>
    <n v="10"/>
    <n v="104"/>
    <n v="17"/>
    <n v="56.766475557431797"/>
    <s v="Fail"/>
    <n v="2.7791935115711599"/>
    <x v="0"/>
    <s v="Route A"/>
    <n v="235.461236735537"/>
    <n v="2531.6769348183984"/>
    <n v="0.89510776859485097"/>
    <n v="1.6333333333333333"/>
    <n v="0"/>
  </r>
  <r>
    <s v="skincare"/>
    <s v="SKU6"/>
    <n v="4.0783328631079403"/>
    <n v="48"/>
    <n v="65"/>
    <n v="7823.4765595317303"/>
    <x v="3"/>
    <n v="11"/>
    <n v="15"/>
    <n v="58"/>
    <n v="8"/>
    <s v="Carrier C"/>
    <n v="3.8807633029519999"/>
    <s v="Supplier 3"/>
    <s v="Kolkata"/>
    <n v="14"/>
    <n v="314"/>
    <n v="24"/>
    <n v="1.0850685695870601"/>
    <s v="Pending"/>
    <n v="1.0009106193041299"/>
    <x v="3"/>
    <s v="Route A"/>
    <n v="134.36909686103101"/>
    <n v="7684.1416307981608"/>
    <n v="0.98219015195184411"/>
    <n v="5.9090909090909092"/>
    <n v="0"/>
  </r>
  <r>
    <s v="cosmetics"/>
    <s v="SKU7"/>
    <n v="42.958384382459997"/>
    <n v="59"/>
    <n v="426"/>
    <n v="8496.1038130898305"/>
    <x v="1"/>
    <n v="93"/>
    <n v="17"/>
    <n v="11"/>
    <n v="1"/>
    <s v="Carrier B"/>
    <n v="2.3483387844177801"/>
    <s v="Supplier 4"/>
    <s v="Bangalore"/>
    <n v="22"/>
    <n v="564"/>
    <n v="1"/>
    <n v="99.466108603599096"/>
    <s v="Fail"/>
    <n v="0.39817718685065001"/>
    <x v="0"/>
    <s v="Route C"/>
    <n v="802.05631181755803"/>
    <n v="7592.2330538842562"/>
    <n v="0.89361349871773066"/>
    <n v="4.580645161290323"/>
    <n v="0"/>
  </r>
  <r>
    <s v="cosmetics"/>
    <s v="SKU8"/>
    <n v="68.717596748527299"/>
    <n v="78"/>
    <n v="150"/>
    <n v="7517.3632106311197"/>
    <x v="1"/>
    <n v="5"/>
    <n v="10"/>
    <n v="15"/>
    <n v="7"/>
    <s v="Carrier C"/>
    <n v="3.4047338570830199"/>
    <s v="Supplier 4"/>
    <s v="Mumbai"/>
    <n v="13"/>
    <n v="769"/>
    <n v="8"/>
    <n v="11.423027139565599"/>
    <s v="Pending"/>
    <n v="2.7098626911099601"/>
    <x v="3"/>
    <s v="Route B"/>
    <n v="505.55713422546398"/>
    <n v="6996.9783154090073"/>
    <n v="0.93077560832950312"/>
    <n v="30"/>
    <n v="0"/>
  </r>
  <r>
    <s v="skincare"/>
    <s v="SKU9"/>
    <n v="64.0157329412785"/>
    <n v="35"/>
    <n v="980"/>
    <n v="4971.1459875855498"/>
    <x v="2"/>
    <n v="14"/>
    <n v="27"/>
    <n v="83"/>
    <n v="1"/>
    <s v="Carrier A"/>
    <n v="7.1666452910482104"/>
    <s v="Supplier 2"/>
    <s v="Chennai"/>
    <n v="29"/>
    <n v="963"/>
    <n v="23"/>
    <n v="47.957601634951502"/>
    <s v="Pending"/>
    <n v="3.8446144787675798"/>
    <x v="2"/>
    <s v="Route B"/>
    <n v="995.92946149864099"/>
    <n v="3920.0922791609087"/>
    <n v="0.78856913254017502"/>
    <n v="70"/>
    <n v="0"/>
  </r>
  <r>
    <s v="skincare"/>
    <s v="SKU10"/>
    <n v="15.707795681912099"/>
    <n v="11"/>
    <n v="996"/>
    <n v="2330.9658020919401"/>
    <x v="0"/>
    <n v="51"/>
    <n v="13"/>
    <n v="80"/>
    <n v="2"/>
    <s v="Carrier C"/>
    <n v="8.6732112112786108"/>
    <s v="Supplier 5"/>
    <s v="Kolkata"/>
    <n v="18"/>
    <n v="830"/>
    <n v="5"/>
    <n v="96.527352785310896"/>
    <s v="Pass"/>
    <n v="1.72731392835594"/>
    <x v="0"/>
    <s v="Route B"/>
    <n v="806.10317770292295"/>
    <n v="1419.6620603924275"/>
    <n v="0.60904456818643271"/>
    <n v="19.529411764705884"/>
    <n v="1"/>
  </r>
  <r>
    <s v="skincare"/>
    <s v="SKU11"/>
    <n v="90.635459982288594"/>
    <n v="95"/>
    <n v="960"/>
    <n v="6099.9441155814502"/>
    <x v="1"/>
    <n v="46"/>
    <n v="23"/>
    <n v="60"/>
    <n v="1"/>
    <s v="Carrier A"/>
    <n v="4.5239431243166601"/>
    <s v="Supplier 2"/>
    <s v="Kolkata"/>
    <n v="28"/>
    <n v="362"/>
    <n v="11"/>
    <n v="27.5923630866636"/>
    <s v="Pending"/>
    <n v="2.1169821372994301E-2"/>
    <x v="1"/>
    <s v="Route A"/>
    <n v="126.72303340940699"/>
    <n v="5941.1047759610628"/>
    <n v="0.97396052543913403"/>
    <n v="20.869565217391305"/>
    <n v="0"/>
  </r>
  <r>
    <s v="haircare"/>
    <s v="SKU12"/>
    <n v="71.213389075359999"/>
    <n v="41"/>
    <n v="336"/>
    <n v="2873.74144602144"/>
    <x v="2"/>
    <n v="100"/>
    <n v="30"/>
    <n v="85"/>
    <n v="4"/>
    <s v="Carrier A"/>
    <n v="1.32527401018452"/>
    <s v="Supplier 4"/>
    <s v="Kolkata"/>
    <n v="3"/>
    <n v="563"/>
    <n v="3"/>
    <n v="32.321286213424003"/>
    <s v="Fail"/>
    <n v="2.1612537475559099"/>
    <x v="0"/>
    <s v="Route B"/>
    <n v="402.96878907376998"/>
    <n v="2437.1260967240614"/>
    <n v="0.84806728180022872"/>
    <n v="3.36"/>
    <n v="0"/>
  </r>
  <r>
    <s v="skincare"/>
    <s v="SKU13"/>
    <n v="16.160393317379899"/>
    <n v="5"/>
    <n v="249"/>
    <n v="4052.7384162378598"/>
    <x v="3"/>
    <n v="80"/>
    <n v="8"/>
    <n v="48"/>
    <n v="9"/>
    <s v="Carrier A"/>
    <n v="9.5372830611083295"/>
    <s v="Supplier 5"/>
    <s v="Bangalore"/>
    <n v="23"/>
    <n v="173"/>
    <n v="10"/>
    <n v="97.829050110173199"/>
    <s v="Pending"/>
    <n v="1.63107423007153"/>
    <x v="0"/>
    <s v="Route B"/>
    <n v="547.24100516096803"/>
    <n v="3398.1310779056103"/>
    <n v="0.83847777203940077"/>
    <n v="3.1124999999999998"/>
    <n v="0"/>
  </r>
  <r>
    <s v="skincare"/>
    <s v="SKU14"/>
    <n v="99.171328638624104"/>
    <n v="26"/>
    <n v="562"/>
    <n v="8653.5709264697998"/>
    <x v="0"/>
    <n v="54"/>
    <n v="29"/>
    <n v="78"/>
    <n v="5"/>
    <s v="Carrier B"/>
    <n v="2.0397701894493299"/>
    <s v="Supplier 1"/>
    <s v="Kolkata"/>
    <n v="25"/>
    <n v="558"/>
    <n v="14"/>
    <n v="5.7914366298629796"/>
    <s v="Pending"/>
    <n v="0.100682851565093"/>
    <x v="1"/>
    <s v="Route B"/>
    <n v="929.23528996088896"/>
    <n v="7716.5044296895994"/>
    <n v="0.89171331641670915"/>
    <n v="10.407407407407407"/>
    <n v="0"/>
  </r>
  <r>
    <s v="skincare"/>
    <s v="SKU15"/>
    <n v="36.989244928626903"/>
    <n v="94"/>
    <n v="469"/>
    <n v="5442.0867853976697"/>
    <x v="0"/>
    <n v="9"/>
    <n v="8"/>
    <n v="69"/>
    <n v="7"/>
    <s v="Carrier B"/>
    <n v="2.4220397232752"/>
    <s v="Supplier 1"/>
    <s v="Bangalore"/>
    <n v="14"/>
    <n v="580"/>
    <n v="7"/>
    <n v="97.121281751474299"/>
    <s v="Pass"/>
    <n v="2.2644057611985402"/>
    <x v="3"/>
    <s v="Route B"/>
    <n v="127.861800001625"/>
    <n v="5214.6816639212957"/>
    <n v="0.9582136172310679"/>
    <n v="52.111111111111114"/>
    <n v="1"/>
  </r>
  <r>
    <s v="skincare"/>
    <s v="SKU16"/>
    <n v="7.5471721097912701"/>
    <n v="74"/>
    <n v="280"/>
    <n v="6453.7979681762799"/>
    <x v="1"/>
    <n v="2"/>
    <n v="5"/>
    <n v="78"/>
    <n v="1"/>
    <s v="Carrier B"/>
    <n v="4.1913245857054999"/>
    <s v="Supplier 1"/>
    <s v="Bangalore"/>
    <n v="3"/>
    <n v="399"/>
    <n v="21"/>
    <n v="77.106342497849994"/>
    <s v="Pass"/>
    <n v="1.01256308925804"/>
    <x v="1"/>
    <s v="Route A"/>
    <n v="865.52577977123997"/>
    <n v="5506.9745213214837"/>
    <n v="0.85329205352823423"/>
    <n v="140"/>
    <n v="1"/>
  </r>
  <r>
    <s v="cosmetics"/>
    <s v="SKU17"/>
    <n v="81.462534369237005"/>
    <n v="82"/>
    <n v="126"/>
    <n v="2629.39643484526"/>
    <x v="1"/>
    <n v="45"/>
    <n v="17"/>
    <n v="85"/>
    <n v="9"/>
    <s v="Carrier C"/>
    <n v="3.5854189582323399"/>
    <s v="Supplier 1"/>
    <s v="Chennai"/>
    <n v="7"/>
    <n v="453"/>
    <n v="16"/>
    <n v="47.679680368355299"/>
    <s v="Fail"/>
    <n v="0.102020754918176"/>
    <x v="1"/>
    <s v="Route C"/>
    <n v="670.93439079241"/>
    <n v="1907.1969447262625"/>
    <n v="0.72533640019121004"/>
    <n v="2.8"/>
    <n v="0"/>
  </r>
  <r>
    <s v="haircare"/>
    <s v="SKU18"/>
    <n v="36.4436277704609"/>
    <n v="23"/>
    <n v="620"/>
    <n v="9364.6735050761708"/>
    <x v="2"/>
    <n v="10"/>
    <n v="10"/>
    <n v="46"/>
    <n v="8"/>
    <s v="Carrier C"/>
    <n v="4.3392247141107001"/>
    <s v="Supplier 2"/>
    <s v="Kolkata"/>
    <n v="18"/>
    <n v="374"/>
    <n v="17"/>
    <n v="27.107980854843898"/>
    <s v="Pending"/>
    <n v="2.2319391107292601"/>
    <x v="3"/>
    <s v="Route A"/>
    <n v="593.48025872065102"/>
    <n v="8739.7460407865656"/>
    <n v="0.93326756517983678"/>
    <n v="62"/>
    <n v="0"/>
  </r>
  <r>
    <s v="skincare"/>
    <s v="SKU19"/>
    <n v="51.123870087964697"/>
    <n v="100"/>
    <n v="187"/>
    <n v="2553.4955849912099"/>
    <x v="2"/>
    <n v="48"/>
    <n v="11"/>
    <n v="94"/>
    <n v="3"/>
    <s v="Carrier A"/>
    <n v="4.7426358828418698"/>
    <s v="Supplier 4"/>
    <s v="Chennai"/>
    <n v="20"/>
    <n v="694"/>
    <n v="16"/>
    <n v="82.373320587990193"/>
    <s v="Fail"/>
    <n v="3.64645086541702"/>
    <x v="0"/>
    <s v="Route C"/>
    <n v="477.30763109090299"/>
    <n v="1989.0719974294748"/>
    <n v="0.77896042159646883"/>
    <n v="3.8958333333333335"/>
    <n v="0"/>
  </r>
  <r>
    <s v="skincare"/>
    <s v="SKU20"/>
    <n v="96.341072439963298"/>
    <n v="22"/>
    <n v="320"/>
    <n v="8128.0276968511898"/>
    <x v="2"/>
    <n v="27"/>
    <n v="12"/>
    <n v="68"/>
    <n v="6"/>
    <s v="Carrier A"/>
    <n v="8.8783346509268402"/>
    <s v="Supplier 1"/>
    <s v="Chennai"/>
    <n v="29"/>
    <n v="309"/>
    <n v="6"/>
    <n v="65.686259608488598"/>
    <s v="Pass"/>
    <n v="4.2314165735345304"/>
    <x v="1"/>
    <s v="Route B"/>
    <n v="493.871215316205"/>
    <n v="7559.5918872755692"/>
    <n v="0.93006473024251213"/>
    <n v="11.851851851851851"/>
    <n v="1"/>
  </r>
  <r>
    <s v="cosmetics"/>
    <s v="SKU21"/>
    <n v="84.893868984950799"/>
    <n v="60"/>
    <n v="601"/>
    <n v="7087.0526963574302"/>
    <x v="2"/>
    <n v="69"/>
    <n v="25"/>
    <n v="7"/>
    <n v="6"/>
    <s v="Carrier B"/>
    <n v="6.0378837692182898"/>
    <s v="Supplier 5"/>
    <s v="Chennai"/>
    <n v="19"/>
    <n v="791"/>
    <n v="4"/>
    <n v="61.735728954160898"/>
    <s v="Pending"/>
    <n v="1.8607567631014899E-2"/>
    <x v="1"/>
    <s v="Route C"/>
    <n v="523.36091472015801"/>
    <n v="6495.9181689138941"/>
    <n v="0.91658951149786638"/>
    <n v="8.7101449275362324"/>
    <n v="0"/>
  </r>
  <r>
    <s v="haircare"/>
    <s v="SKU22"/>
    <n v="27.679780886501899"/>
    <n v="55"/>
    <n v="884"/>
    <n v="2390.8078665561702"/>
    <x v="2"/>
    <n v="71"/>
    <n v="1"/>
    <n v="63"/>
    <n v="10"/>
    <s v="Carrier A"/>
    <n v="9.5676489209230393"/>
    <s v="Supplier 4"/>
    <s v="Kolkata"/>
    <n v="22"/>
    <n v="780"/>
    <n v="28"/>
    <n v="50.120839612977299"/>
    <s v="Fail"/>
    <n v="2.5912754732111098"/>
    <x v="2"/>
    <s v="Route C"/>
    <n v="205.57199582694699"/>
    <n v="2125.5473821953228"/>
    <n v="0.88904985295077654"/>
    <n v="12.450704225352112"/>
    <n v="0"/>
  </r>
  <r>
    <s v="cosmetics"/>
    <s v="SKU23"/>
    <n v="4.3243411858641601"/>
    <n v="30"/>
    <n v="391"/>
    <n v="8858.3675710114803"/>
    <x v="2"/>
    <n v="84"/>
    <n v="5"/>
    <n v="29"/>
    <n v="7"/>
    <s v="Carrier A"/>
    <n v="2.92485760114555"/>
    <s v="Supplier 5"/>
    <s v="Kolkata"/>
    <n v="11"/>
    <n v="568"/>
    <n v="29"/>
    <n v="98.6099572427038"/>
    <s v="Pending"/>
    <n v="1.3422915627227301"/>
    <x v="2"/>
    <s v="Route A"/>
    <n v="196.329446112412"/>
    <n v="8560.5033100552191"/>
    <n v="0.96637481357953514"/>
    <n v="4.6547619047619051"/>
    <n v="0"/>
  </r>
  <r>
    <s v="haircare"/>
    <s v="SKU24"/>
    <n v="4.1563083593111001"/>
    <n v="32"/>
    <n v="209"/>
    <n v="9049.0778609398894"/>
    <x v="3"/>
    <n v="4"/>
    <n v="26"/>
    <n v="2"/>
    <n v="8"/>
    <s v="Carrier C"/>
    <n v="9.7412916892843597"/>
    <s v="Supplier 2"/>
    <s v="Bangalore"/>
    <n v="28"/>
    <n v="447"/>
    <n v="3"/>
    <n v="40.382359702924802"/>
    <s v="Pending"/>
    <n v="3.69131029262872"/>
    <x v="1"/>
    <s v="Route A"/>
    <n v="758.72477260293795"/>
    <n v="8240.2294369447427"/>
    <n v="0.91061537579574603"/>
    <n v="52.25"/>
    <n v="0"/>
  </r>
  <r>
    <s v="haircare"/>
    <s v="SKU25"/>
    <n v="39.629343985092603"/>
    <n v="73"/>
    <n v="142"/>
    <n v="2174.7770543506499"/>
    <x v="3"/>
    <n v="82"/>
    <n v="11"/>
    <n v="52"/>
    <n v="3"/>
    <s v="Carrier C"/>
    <n v="2.2310736812817198"/>
    <s v="Supplier 4"/>
    <s v="Kolkata"/>
    <n v="19"/>
    <n v="934"/>
    <n v="23"/>
    <n v="78.280383118415301"/>
    <s v="Pending"/>
    <n v="3.79723121711418"/>
    <x v="0"/>
    <s v="Route B"/>
    <n v="458.53594573920901"/>
    <n v="1635.7296518117437"/>
    <n v="0.7521367068589675"/>
    <n v="1.7317073170731707"/>
    <n v="0"/>
  </r>
  <r>
    <s v="haircare"/>
    <s v="SKU26"/>
    <n v="97.446946617892806"/>
    <n v="9"/>
    <n v="353"/>
    <n v="3716.49332589403"/>
    <x v="3"/>
    <n v="59"/>
    <n v="16"/>
    <n v="48"/>
    <n v="4"/>
    <s v="Carrier B"/>
    <n v="6.5075486210785503"/>
    <s v="Supplier 2"/>
    <s v="Bangalore"/>
    <n v="26"/>
    <n v="171"/>
    <n v="4"/>
    <n v="15.972229757181699"/>
    <s v="Pass"/>
    <n v="2.1193197367249201"/>
    <x v="2"/>
    <s v="Route A"/>
    <n v="617.86691645837698"/>
    <n v="3076.1466310573928"/>
    <n v="0.8277013736644887"/>
    <n v="5.9830508474576272"/>
    <n v="1"/>
  </r>
  <r>
    <s v="cosmetics"/>
    <s v="SKU27"/>
    <n v="92.557360812401996"/>
    <n v="42"/>
    <n v="352"/>
    <n v="2686.4572235759802"/>
    <x v="2"/>
    <n v="47"/>
    <n v="9"/>
    <n v="62"/>
    <n v="8"/>
    <s v="Carrier C"/>
    <n v="7.4067509529980704"/>
    <s v="Supplier 5"/>
    <s v="Mumbai"/>
    <n v="25"/>
    <n v="291"/>
    <n v="4"/>
    <n v="10.5282450700421"/>
    <s v="Fail"/>
    <n v="2.8646678378833701"/>
    <x v="3"/>
    <s v="Route B"/>
    <n v="762.45918215568304"/>
    <n v="1906.0630453972567"/>
    <n v="0.70950805718025545"/>
    <n v="7.4893617021276597"/>
    <n v="0"/>
  </r>
  <r>
    <s v="cosmetics"/>
    <s v="SKU28"/>
    <n v="2.3972747055971402"/>
    <n v="12"/>
    <n v="394"/>
    <n v="6117.3246150839896"/>
    <x v="1"/>
    <n v="48"/>
    <n v="15"/>
    <n v="24"/>
    <n v="4"/>
    <s v="Carrier B"/>
    <n v="9.8981405080692202"/>
    <s v="Supplier 1"/>
    <s v="Mumbai"/>
    <n v="13"/>
    <n v="171"/>
    <n v="7"/>
    <n v="59.429381810691503"/>
    <s v="Fail"/>
    <n v="0.81575707929567198"/>
    <x v="1"/>
    <s v="Route A"/>
    <n v="123.437027511827"/>
    <n v="5924.5600652534013"/>
    <n v="0.96848874925563488"/>
    <n v="8.2083333333333339"/>
    <n v="0"/>
  </r>
  <r>
    <s v="cosmetics"/>
    <s v="SKU29"/>
    <n v="63.447559185207297"/>
    <n v="3"/>
    <n v="253"/>
    <n v="8318.9031946171708"/>
    <x v="1"/>
    <n v="45"/>
    <n v="5"/>
    <n v="67"/>
    <n v="7"/>
    <s v="Carrier B"/>
    <n v="8.1009731453970293"/>
    <s v="Supplier 1"/>
    <s v="Kolkata"/>
    <n v="16"/>
    <n v="329"/>
    <n v="7"/>
    <n v="39.292875586065698"/>
    <s v="Pass"/>
    <n v="3.8780989365884802"/>
    <x v="0"/>
    <s v="Route B"/>
    <n v="764.93537594070801"/>
    <n v="7506.5739699449996"/>
    <n v="0.90235140310350082"/>
    <n v="5.6222222222222218"/>
    <n v="1"/>
  </r>
  <r>
    <s v="haircare"/>
    <s v="SKU30"/>
    <n v="8.0228592105263896"/>
    <n v="10"/>
    <n v="327"/>
    <n v="2766.3423668660798"/>
    <x v="3"/>
    <n v="60"/>
    <n v="26"/>
    <n v="35"/>
    <n v="7"/>
    <s v="Carrier B"/>
    <n v="8.9545283153180097"/>
    <s v="Supplier 4"/>
    <s v="Kolkata"/>
    <n v="27"/>
    <n v="806"/>
    <n v="30"/>
    <n v="51.634893400109299"/>
    <s v="Pending"/>
    <n v="0.96539470535239302"/>
    <x v="0"/>
    <s v="Route C"/>
    <n v="880.08098824716103"/>
    <n v="1825.6719569034915"/>
    <n v="0.65995878846035594"/>
    <n v="5.45"/>
    <n v="0"/>
  </r>
  <r>
    <s v="skincare"/>
    <s v="SKU31"/>
    <n v="50.847393051718697"/>
    <n v="28"/>
    <n v="168"/>
    <n v="9655.1351027193905"/>
    <x v="3"/>
    <n v="6"/>
    <n v="17"/>
    <n v="44"/>
    <n v="4"/>
    <s v="Carrier B"/>
    <n v="2.6796609649813998"/>
    <s v="Supplier 3"/>
    <s v="Chennai"/>
    <n v="24"/>
    <n v="461"/>
    <n v="8"/>
    <n v="60.251145661598002"/>
    <s v="Pending"/>
    <n v="2.9890000066550702"/>
    <x v="2"/>
    <s v="Route C"/>
    <n v="609.379206618426"/>
    <n v="8982.8250894743869"/>
    <n v="0.93036762240068027"/>
    <n v="28"/>
    <n v="0"/>
  </r>
  <r>
    <s v="skincare"/>
    <s v="SKU32"/>
    <n v="79.209936015656695"/>
    <n v="43"/>
    <n v="781"/>
    <n v="9571.5504873278096"/>
    <x v="2"/>
    <n v="89"/>
    <n v="13"/>
    <n v="64"/>
    <n v="4"/>
    <s v="Carrier C"/>
    <n v="6.5991049012385803"/>
    <s v="Supplier 3"/>
    <s v="Kolkata"/>
    <n v="30"/>
    <n v="737"/>
    <n v="7"/>
    <n v="29.6924671537497"/>
    <s v="Pass"/>
    <n v="1.94603611938611"/>
    <x v="0"/>
    <s v="Route A"/>
    <n v="761.17390951487698"/>
    <n v="8774.0850057579446"/>
    <n v="0.91668377211971408"/>
    <n v="8.7752808988764048"/>
    <n v="1"/>
  </r>
  <r>
    <s v="cosmetics"/>
    <s v="SKU33"/>
    <n v="64.795435000155607"/>
    <n v="63"/>
    <n v="616"/>
    <n v="5149.9983504080301"/>
    <x v="0"/>
    <n v="4"/>
    <n v="17"/>
    <n v="95"/>
    <n v="9"/>
    <s v="Carrier C"/>
    <n v="4.85827050343664"/>
    <s v="Supplier 5"/>
    <s v="Chennai"/>
    <n v="1"/>
    <n v="251"/>
    <n v="23"/>
    <n v="23.853427512896101"/>
    <s v="Fail"/>
    <n v="3.54104601225092"/>
    <x v="3"/>
    <s v="Route A"/>
    <n v="371.25529551987103"/>
    <n v="4750.0313568718266"/>
    <n v="0.92233648123314171"/>
    <n v="154"/>
    <n v="0"/>
  </r>
  <r>
    <s v="skincare"/>
    <s v="SKU34"/>
    <n v="37.467592329842397"/>
    <n v="96"/>
    <n v="602"/>
    <n v="9061.7108955077201"/>
    <x v="2"/>
    <n v="1"/>
    <n v="26"/>
    <n v="21"/>
    <n v="7"/>
    <s v="Carrier A"/>
    <n v="1.0194875708221101"/>
    <s v="Supplier 1"/>
    <s v="Chennai"/>
    <n v="4"/>
    <n v="452"/>
    <n v="10"/>
    <n v="10.754272815029299"/>
    <s v="Pass"/>
    <n v="0.64660455937205397"/>
    <x v="0"/>
    <s v="Route B"/>
    <n v="510.35800043352299"/>
    <n v="8539.5791346883452"/>
    <n v="0.94238044373295793"/>
    <n v="602"/>
    <n v="1"/>
  </r>
  <r>
    <s v="cosmetics"/>
    <s v="SKU35"/>
    <n v="84.957786816350406"/>
    <n v="11"/>
    <n v="449"/>
    <n v="6541.3293448024597"/>
    <x v="1"/>
    <n v="42"/>
    <n v="27"/>
    <n v="85"/>
    <n v="8"/>
    <s v="Carrier C"/>
    <n v="5.2881899903273997"/>
    <s v="Supplier 1"/>
    <s v="Delhi"/>
    <n v="3"/>
    <n v="367"/>
    <n v="2"/>
    <n v="58.004787044743701"/>
    <s v="Pass"/>
    <n v="0.54115409806058101"/>
    <x v="3"/>
    <s v="Route C"/>
    <n v="553.42047123035502"/>
    <n v="5924.6158965370332"/>
    <n v="0.90572047121347776"/>
    <n v="10.69047619047619"/>
    <n v="1"/>
  </r>
  <r>
    <s v="skincare"/>
    <s v="SKU36"/>
    <n v="9.81300257875405"/>
    <n v="34"/>
    <n v="963"/>
    <n v="7573.4024578487297"/>
    <x v="1"/>
    <n v="18"/>
    <n v="23"/>
    <n v="28"/>
    <n v="3"/>
    <s v="Carrier B"/>
    <n v="2.1079512671590801"/>
    <s v="Supplier 2"/>
    <s v="Delhi"/>
    <n v="26"/>
    <n v="671"/>
    <n v="19"/>
    <n v="45.531364237162101"/>
    <s v="Fail"/>
    <n v="3.8055333792433501"/>
    <x v="1"/>
    <s v="Route C"/>
    <n v="403.80897424817999"/>
    <n v="7121.9541680962284"/>
    <n v="0.94039029455187073"/>
    <n v="53.5"/>
    <n v="0"/>
  </r>
  <r>
    <s v="skincare"/>
    <s v="SKU37"/>
    <n v="23.3998447526143"/>
    <n v="5"/>
    <n v="963"/>
    <n v="2438.3399304700201"/>
    <x v="1"/>
    <n v="25"/>
    <n v="8"/>
    <n v="21"/>
    <n v="9"/>
    <s v="Carrier A"/>
    <n v="1.53265527359043"/>
    <s v="Supplier 3"/>
    <s v="Kolkata"/>
    <n v="24"/>
    <n v="867"/>
    <n v="15"/>
    <n v="34.343277465075303"/>
    <s v="Pending"/>
    <n v="2.61028808484811"/>
    <x v="3"/>
    <s v="Route A"/>
    <n v="183.932968043594"/>
    <n v="2218.5310296877601"/>
    <n v="0.9098530528760651"/>
    <n v="38.520000000000003"/>
    <n v="0"/>
  </r>
  <r>
    <s v="cosmetics"/>
    <s v="SKU38"/>
    <n v="52.075930682707799"/>
    <n v="75"/>
    <n v="705"/>
    <n v="9692.3180402184298"/>
    <x v="0"/>
    <n v="69"/>
    <n v="1"/>
    <n v="88"/>
    <n v="5"/>
    <s v="Carrier B"/>
    <n v="9.2359314372492207"/>
    <s v="Supplier 5"/>
    <s v="Mumbai"/>
    <n v="10"/>
    <n v="841"/>
    <n v="12"/>
    <n v="5.9306936455283097"/>
    <s v="Pending"/>
    <n v="0.613326899164507"/>
    <x v="1"/>
    <s v="Route B"/>
    <n v="339.67286994860598"/>
    <n v="9337.4785451870448"/>
    <n v="0.96338961499622966"/>
    <n v="10.217391304347826"/>
    <n v="0"/>
  </r>
  <r>
    <s v="skincare"/>
    <s v="SKU39"/>
    <n v="19.127477265823199"/>
    <n v="26"/>
    <n v="176"/>
    <n v="1912.4656631007599"/>
    <x v="1"/>
    <n v="78"/>
    <n v="29"/>
    <n v="34"/>
    <n v="3"/>
    <s v="Carrier A"/>
    <n v="5.5625037788303802"/>
    <s v="Supplier 2"/>
    <s v="Kolkata"/>
    <n v="30"/>
    <n v="791"/>
    <n v="6"/>
    <n v="9.0058074287816403"/>
    <s v="Fail"/>
    <n v="1.4519722039968099"/>
    <x v="1"/>
    <s v="Route B"/>
    <n v="653.67299455203295"/>
    <n v="1244.2243573411147"/>
    <n v="0.65058650795528639"/>
    <n v="2.2564102564102564"/>
    <n v="0"/>
  </r>
  <r>
    <s v="skincare"/>
    <s v="SKU40"/>
    <n v="80.541424170940303"/>
    <n v="97"/>
    <n v="933"/>
    <n v="5724.9593504562599"/>
    <x v="1"/>
    <n v="90"/>
    <n v="20"/>
    <n v="39"/>
    <n v="8"/>
    <s v="Carrier C"/>
    <n v="7.2295951397364702"/>
    <s v="Supplier 1"/>
    <s v="Kolkata"/>
    <n v="18"/>
    <n v="793"/>
    <n v="1"/>
    <n v="88.179407104217404"/>
    <s v="Pending"/>
    <n v="4.2132694305865597"/>
    <x v="0"/>
    <s v="Route A"/>
    <n v="529.80872398069096"/>
    <n v="5099.7416242316149"/>
    <n v="0.89079088811786633"/>
    <n v="10.366666666666667"/>
    <n v="0"/>
  </r>
  <r>
    <s v="skincare"/>
    <s v="SKU41"/>
    <n v="99.113291615317095"/>
    <n v="35"/>
    <n v="556"/>
    <n v="5521.2052590109697"/>
    <x v="1"/>
    <n v="64"/>
    <n v="19"/>
    <n v="38"/>
    <n v="8"/>
    <s v="Carrier B"/>
    <n v="5.7732637437666501"/>
    <s v="Supplier 4"/>
    <s v="Chennai"/>
    <n v="18"/>
    <n v="892"/>
    <n v="7"/>
    <n v="95.332064548772493"/>
    <s v="Fail"/>
    <n v="4.5302262398259602E-2"/>
    <x v="3"/>
    <s v="Route A"/>
    <n v="275.52437113130901"/>
    <n v="5144.5755595871215"/>
    <n v="0.93178487635300933"/>
    <n v="8.6875"/>
    <n v="0"/>
  </r>
  <r>
    <s v="skincare"/>
    <s v="SKU42"/>
    <n v="46.529167614516702"/>
    <n v="98"/>
    <n v="155"/>
    <n v="1839.60942585676"/>
    <x v="1"/>
    <n v="22"/>
    <n v="27"/>
    <n v="57"/>
    <n v="4"/>
    <s v="Carrier C"/>
    <n v="7.5262483268515004"/>
    <s v="Supplier 5"/>
    <s v="Bangalore"/>
    <n v="26"/>
    <n v="179"/>
    <n v="7"/>
    <n v="96.422820639571796"/>
    <s v="Fail"/>
    <n v="4.9392552886209398"/>
    <x v="0"/>
    <s v="Route A"/>
    <n v="635.65712050199102"/>
    <n v="1100.0032363883456"/>
    <n v="0.59795477285948451"/>
    <n v="7.0454545454545459"/>
    <n v="0"/>
  </r>
  <r>
    <s v="haircare"/>
    <s v="SKU43"/>
    <n v="11.7432717763092"/>
    <n v="6"/>
    <n v="598"/>
    <n v="5737.4255991190203"/>
    <x v="2"/>
    <n v="36"/>
    <n v="29"/>
    <n v="85"/>
    <n v="9"/>
    <s v="Carrier B"/>
    <n v="3.6940212683884499"/>
    <s v="Supplier 5"/>
    <s v="Mumbai"/>
    <n v="1"/>
    <n v="206"/>
    <n v="23"/>
    <n v="26.2773659573324"/>
    <s v="Pending"/>
    <n v="0.37230476798509698"/>
    <x v="1"/>
    <s v="Route A"/>
    <n v="716.04411975933999"/>
    <n v="4991.4100921339596"/>
    <n v="0.86997382465410777"/>
    <n v="16.611111111111111"/>
    <n v="0"/>
  </r>
  <r>
    <s v="cosmetics"/>
    <s v="SKU44"/>
    <n v="51.355790913110297"/>
    <n v="34"/>
    <n v="919"/>
    <n v="7152.28604943551"/>
    <x v="1"/>
    <n v="13"/>
    <n v="19"/>
    <n v="72"/>
    <n v="6"/>
    <s v="Carrier C"/>
    <n v="7.5774496573766896"/>
    <s v="Supplier 2"/>
    <s v="Delhi"/>
    <n v="7"/>
    <n v="834"/>
    <n v="18"/>
    <n v="22.554106620887701"/>
    <s v="Fail"/>
    <n v="2.9626263204548802"/>
    <x v="2"/>
    <s v="Route A"/>
    <n v="610.45326961922694"/>
    <n v="6511.701223538018"/>
    <n v="0.91043635259134392"/>
    <n v="70.692307692307693"/>
    <n v="0"/>
  </r>
  <r>
    <s v="haircare"/>
    <s v="SKU45"/>
    <n v="33.784138033065503"/>
    <n v="1"/>
    <n v="24"/>
    <n v="5267.9568075105199"/>
    <x v="3"/>
    <n v="93"/>
    <n v="7"/>
    <n v="52"/>
    <n v="6"/>
    <s v="Carrier B"/>
    <n v="5.2151550087119096"/>
    <s v="Supplier 2"/>
    <s v="Chennai"/>
    <n v="25"/>
    <n v="794"/>
    <n v="25"/>
    <n v="66.312544439991598"/>
    <s v="Pass"/>
    <n v="3.2196046120841002"/>
    <x v="2"/>
    <s v="Route A"/>
    <n v="495.30569702847299"/>
    <n v="4701.1234110333426"/>
    <n v="0.89239976385739461"/>
    <n v="0.25806451612903225"/>
    <n v="1"/>
  </r>
  <r>
    <s v="haircare"/>
    <s v="SKU46"/>
    <n v="27.082207199888899"/>
    <n v="75"/>
    <n v="859"/>
    <n v="2556.7673606335902"/>
    <x v="0"/>
    <n v="92"/>
    <n v="29"/>
    <n v="6"/>
    <n v="8"/>
    <s v="Carrier B"/>
    <n v="4.0709558370840799"/>
    <s v="Supplier 3"/>
    <s v="Chennai"/>
    <n v="18"/>
    <n v="870"/>
    <n v="23"/>
    <n v="77.322353211051606"/>
    <s v="Pending"/>
    <n v="3.6486105925361998"/>
    <x v="0"/>
    <s v="Route B"/>
    <n v="380.43593711196399"/>
    <n v="2094.9381144734907"/>
    <n v="0.81936986005419987"/>
    <n v="9.3369565217391308"/>
    <n v="0"/>
  </r>
  <r>
    <s v="skincare"/>
    <s v="SKU47"/>
    <n v="95.712135880936003"/>
    <n v="93"/>
    <n v="910"/>
    <n v="7089.4742499341801"/>
    <x v="3"/>
    <n v="4"/>
    <n v="15"/>
    <n v="51"/>
    <n v="9"/>
    <s v="Carrier B"/>
    <n v="8.9787507559499709"/>
    <s v="Supplier 1"/>
    <s v="Kolkata"/>
    <n v="10"/>
    <n v="964"/>
    <n v="20"/>
    <n v="19.7129929112936"/>
    <s v="Pending"/>
    <n v="0.38057358671321301"/>
    <x v="2"/>
    <s v="Route A"/>
    <n v="581.60235505058597"/>
    <n v="6479.1801512163502"/>
    <n v="0.91391546436274929"/>
    <n v="227.5"/>
    <n v="0"/>
  </r>
  <r>
    <s v="haircare"/>
    <s v="SKU48"/>
    <n v="76.035544426891704"/>
    <n v="28"/>
    <n v="29"/>
    <n v="7397.0710045871801"/>
    <x v="0"/>
    <n v="30"/>
    <n v="16"/>
    <n v="9"/>
    <n v="3"/>
    <s v="Carrier C"/>
    <n v="7.0958331565551296"/>
    <s v="Supplier 2"/>
    <s v="Mumbai"/>
    <n v="9"/>
    <n v="109"/>
    <n v="18"/>
    <n v="23.126363582464698"/>
    <s v="Fail"/>
    <n v="1.6981125407144"/>
    <x v="2"/>
    <s v="Route B"/>
    <n v="768.65191395437"/>
    <n v="6598.1968938937907"/>
    <n v="0.89200129210629719"/>
    <n v="0.96666666666666667"/>
    <n v="0"/>
  </r>
  <r>
    <s v="cosmetics"/>
    <s v="SKU49"/>
    <n v="78.897913205639995"/>
    <n v="19"/>
    <n v="99"/>
    <n v="8001.6132065190004"/>
    <x v="2"/>
    <n v="97"/>
    <n v="24"/>
    <n v="9"/>
    <n v="6"/>
    <s v="Carrier C"/>
    <n v="2.5056210329009101"/>
    <s v="Supplier 5"/>
    <s v="Delhi"/>
    <n v="28"/>
    <n v="177"/>
    <n v="28"/>
    <n v="14.1478154439792"/>
    <s v="Pass"/>
    <n v="2.8258139854001301"/>
    <x v="2"/>
    <s v="Route A"/>
    <n v="336.89016851997701"/>
    <n v="7648.0696015221429"/>
    <n v="0.95581595912324013"/>
    <n v="1.0206185567010309"/>
    <n v="1"/>
  </r>
  <r>
    <s v="cosmetics"/>
    <s v="SKU50"/>
    <n v="14.203484264803"/>
    <n v="91"/>
    <n v="633"/>
    <n v="5910.8853896688897"/>
    <x v="1"/>
    <n v="31"/>
    <n v="23"/>
    <n v="82"/>
    <n v="10"/>
    <s v="Carrier A"/>
    <n v="6.2478609149759903"/>
    <s v="Supplier 2"/>
    <s v="Delhi"/>
    <n v="20"/>
    <n v="306"/>
    <n v="21"/>
    <n v="45.178757924634503"/>
    <s v="Fail"/>
    <n v="4.7548008046711798"/>
    <x v="2"/>
    <s v="Route B"/>
    <n v="496.24865029194001"/>
    <n v="5363.2101205373392"/>
    <n v="0.90734463062187209"/>
    <n v="20.419354838709676"/>
    <n v="0"/>
  </r>
  <r>
    <s v="haircare"/>
    <s v="SKU51"/>
    <n v="26.700760972461701"/>
    <n v="61"/>
    <n v="154"/>
    <n v="9866.4654579796897"/>
    <x v="3"/>
    <n v="100"/>
    <n v="4"/>
    <n v="52"/>
    <n v="1"/>
    <s v="Carrier A"/>
    <n v="4.78300055794766"/>
    <s v="Supplier 5"/>
    <s v="Bangalore"/>
    <n v="18"/>
    <n v="673"/>
    <n v="28"/>
    <n v="14.190328344569901"/>
    <s v="Pending"/>
    <n v="1.77295117208355"/>
    <x v="0"/>
    <s v="Route A"/>
    <n v="694.98231757944495"/>
    <n v="9152.5098114977282"/>
    <n v="0.92763815476549039"/>
    <n v="1.54"/>
    <n v="0"/>
  </r>
  <r>
    <s v="skincare"/>
    <s v="SKU52"/>
    <n v="98.031829656465007"/>
    <n v="1"/>
    <n v="820"/>
    <n v="9435.7626089121295"/>
    <x v="3"/>
    <n v="64"/>
    <n v="11"/>
    <n v="11"/>
    <n v="1"/>
    <s v="Carrier B"/>
    <n v="8.6310521797689397"/>
    <s v="Supplier 1"/>
    <s v="Mumbai"/>
    <n v="10"/>
    <n v="727"/>
    <n v="27"/>
    <n v="9.1668491485971497"/>
    <s v="Pending"/>
    <n v="2.1224716191438202"/>
    <x v="1"/>
    <s v="Route C"/>
    <n v="602.89849883838303"/>
    <n v="8815.0662087453784"/>
    <n v="0.93421873505163222"/>
    <n v="12.8125"/>
    <n v="0"/>
  </r>
  <r>
    <s v="skincare"/>
    <s v="SKU53"/>
    <n v="30.3414707112142"/>
    <n v="93"/>
    <n v="242"/>
    <n v="8232.3348294258194"/>
    <x v="3"/>
    <n v="96"/>
    <n v="25"/>
    <n v="54"/>
    <n v="3"/>
    <s v="Carrier B"/>
    <n v="1.0134865660958901"/>
    <s v="Supplier 1"/>
    <s v="Delhi"/>
    <n v="1"/>
    <n v="631"/>
    <n v="17"/>
    <n v="83.344058991677898"/>
    <s v="Pending"/>
    <n v="1.41034757607602"/>
    <x v="1"/>
    <s v="Route B"/>
    <n v="750.73784066827"/>
    <n v="7397.2394431997745"/>
    <n v="0.89855910825674101"/>
    <n v="2.5208333333333335"/>
    <n v="0"/>
  </r>
  <r>
    <s v="haircare"/>
    <s v="SKU54"/>
    <n v="31.1462431602408"/>
    <n v="11"/>
    <n v="622"/>
    <n v="6088.0214799408504"/>
    <x v="0"/>
    <n v="33"/>
    <n v="22"/>
    <n v="61"/>
    <n v="3"/>
    <s v="Carrier B"/>
    <n v="4.3051034712876302"/>
    <s v="Supplier 1"/>
    <s v="Kolkata"/>
    <n v="26"/>
    <n v="497"/>
    <n v="29"/>
    <n v="30.186023375822501"/>
    <s v="Pass"/>
    <n v="2.4787719755397402"/>
    <x v="0"/>
    <s v="Route B"/>
    <n v="814.06999658218695"/>
    <n v="5239.4603565115531"/>
    <n v="0.86061791565204171"/>
    <n v="18.848484848484848"/>
    <n v="1"/>
  </r>
  <r>
    <s v="haircare"/>
    <s v="SKU55"/>
    <n v="79.855058340789398"/>
    <n v="16"/>
    <n v="701"/>
    <n v="2925.6751703038099"/>
    <x v="3"/>
    <n v="97"/>
    <n v="11"/>
    <n v="11"/>
    <n v="5"/>
    <s v="Carrier A"/>
    <n v="5.0143649550309002"/>
    <s v="Supplier 2"/>
    <s v="Delhi"/>
    <n v="27"/>
    <n v="918"/>
    <n v="5"/>
    <n v="30.323545256616502"/>
    <s v="Fail"/>
    <n v="4.5489196593963799"/>
    <x v="3"/>
    <s v="Route B"/>
    <n v="323.01292795247798"/>
    <n v="2567.3243321396844"/>
    <n v="0.87751516579781019"/>
    <n v="7.2268041237113403"/>
    <n v="0"/>
  </r>
  <r>
    <s v="skincare"/>
    <s v="SKU56"/>
    <n v="20.9863860370433"/>
    <n v="90"/>
    <n v="93"/>
    <n v="4767.0204843441297"/>
    <x v="0"/>
    <n v="25"/>
    <n v="23"/>
    <n v="83"/>
    <n v="5"/>
    <s v="Carrier C"/>
    <n v="1.77442971407173"/>
    <s v="Supplier 1"/>
    <s v="Mumbai"/>
    <n v="24"/>
    <n v="826"/>
    <n v="28"/>
    <n v="12.8362845728327"/>
    <s v="Pass"/>
    <n v="1.1737554953874501"/>
    <x v="1"/>
    <s v="Route B"/>
    <n v="832.210808706021"/>
    <n v="3920.1989613512046"/>
    <n v="0.82235832093147909"/>
    <n v="3.72"/>
    <n v="1"/>
  </r>
  <r>
    <s v="haircare"/>
    <s v="SKU57"/>
    <n v="49.263205350734097"/>
    <n v="65"/>
    <n v="227"/>
    <n v="1605.8669003924001"/>
    <x v="2"/>
    <n v="5"/>
    <n v="18"/>
    <n v="51"/>
    <n v="1"/>
    <s v="Carrier B"/>
    <n v="9.1605585353818704"/>
    <s v="Supplier 2"/>
    <s v="Delhi"/>
    <n v="21"/>
    <n v="588"/>
    <n v="25"/>
    <n v="67.779622987078099"/>
    <s v="Pending"/>
    <n v="2.5111748302126999"/>
    <x v="2"/>
    <s v="Route A"/>
    <n v="482.19123860252802"/>
    <n v="1046.7354802674122"/>
    <n v="0.65181957484249664"/>
    <n v="45.4"/>
    <n v="0"/>
  </r>
  <r>
    <s v="skincare"/>
    <s v="SKU58"/>
    <n v="59.841561377289302"/>
    <n v="81"/>
    <n v="896"/>
    <n v="2021.1498103371"/>
    <x v="0"/>
    <n v="10"/>
    <n v="5"/>
    <n v="44"/>
    <n v="7"/>
    <s v="Carrier A"/>
    <n v="4.9384385647120901"/>
    <s v="Supplier 3"/>
    <s v="Delhi"/>
    <n v="18"/>
    <n v="396"/>
    <n v="7"/>
    <n v="65.047415094691402"/>
    <s v="Fail"/>
    <n v="1.7303747198591899"/>
    <x v="0"/>
    <s v="Route B"/>
    <n v="110.364335231364"/>
    <n v="1840.7996214463326"/>
    <n v="0.91076851999373198"/>
    <n v="89.6"/>
    <n v="0"/>
  </r>
  <r>
    <s v="cosmetics"/>
    <s v="SKU59"/>
    <n v="63.828398347710902"/>
    <n v="30"/>
    <n v="484"/>
    <n v="1061.6185230132801"/>
    <x v="0"/>
    <n v="100"/>
    <n v="16"/>
    <n v="26"/>
    <n v="7"/>
    <s v="Carrier B"/>
    <n v="7.2937225968677204"/>
    <s v="Supplier 1"/>
    <s v="Kolkata"/>
    <n v="11"/>
    <n v="176"/>
    <n v="4"/>
    <n v="1.90076224351945"/>
    <s v="Fail"/>
    <n v="0.44719401546382298"/>
    <x v="1"/>
    <s v="Route A"/>
    <n v="312.57427361009297"/>
    <n v="739.84976456280003"/>
    <n v="0.69690736222539051"/>
    <n v="4.84"/>
    <n v="0"/>
  </r>
  <r>
    <s v="skincare"/>
    <s v="SKU60"/>
    <n v="17.028027920188698"/>
    <n v="16"/>
    <n v="380"/>
    <n v="8864.0843495864301"/>
    <x v="1"/>
    <n v="41"/>
    <n v="27"/>
    <n v="72"/>
    <n v="8"/>
    <s v="Carrier C"/>
    <n v="4.3813681581023101"/>
    <s v="Supplier 4"/>
    <s v="Mumbai"/>
    <n v="29"/>
    <n v="929"/>
    <n v="24"/>
    <n v="87.213057815135599"/>
    <s v="Fail"/>
    <n v="2.8530906166490499"/>
    <x v="2"/>
    <s v="Route A"/>
    <n v="430.16909697513597"/>
    <n v="8342.3208266380552"/>
    <n v="0.94113734680641681"/>
    <n v="9.2682926829268286"/>
    <n v="0"/>
  </r>
  <r>
    <s v="haircare"/>
    <s v="SKU61"/>
    <n v="52.028749903294901"/>
    <n v="23"/>
    <n v="117"/>
    <n v="6885.5893508962499"/>
    <x v="2"/>
    <n v="32"/>
    <n v="23"/>
    <n v="36"/>
    <n v="7"/>
    <s v="Carrier C"/>
    <n v="9.0303404225219399"/>
    <s v="Supplier 4"/>
    <s v="Kolkata"/>
    <n v="14"/>
    <n v="480"/>
    <n v="12"/>
    <n v="78.702393968878894"/>
    <s v="Fail"/>
    <n v="4.3674705382050503"/>
    <x v="1"/>
    <s v="Route A"/>
    <n v="164.366528243419"/>
    <n v="6633.4900882614293"/>
    <n v="0.96338740959014546"/>
    <n v="3.65625"/>
    <n v="0"/>
  </r>
  <r>
    <s v="cosmetics"/>
    <s v="SKU62"/>
    <n v="72.796353955587307"/>
    <n v="89"/>
    <n v="270"/>
    <n v="3899.7468337292198"/>
    <x v="2"/>
    <n v="86"/>
    <n v="2"/>
    <n v="40"/>
    <n v="7"/>
    <s v="Carrier C"/>
    <n v="7.2917013887767697"/>
    <s v="Supplier 2"/>
    <s v="Mumbai"/>
    <n v="13"/>
    <n v="751"/>
    <n v="14"/>
    <n v="21.048642725168602"/>
    <s v="Pass"/>
    <n v="1.87400140404437"/>
    <x v="3"/>
    <s v="Route C"/>
    <n v="320.84651575911101"/>
    <n v="3550.5599738561637"/>
    <n v="0.91045909522820523"/>
    <n v="3.13953488372093"/>
    <n v="1"/>
  </r>
  <r>
    <s v="skincare"/>
    <s v="SKU63"/>
    <n v="13.0173767852878"/>
    <n v="55"/>
    <n v="246"/>
    <n v="4256.9491408502199"/>
    <x v="0"/>
    <n v="54"/>
    <n v="19"/>
    <n v="10"/>
    <n v="4"/>
    <s v="Carrier A"/>
    <n v="2.45793352798733"/>
    <s v="Supplier 3"/>
    <s v="Bangalore"/>
    <n v="18"/>
    <n v="736"/>
    <n v="10"/>
    <n v="20.075003975630398"/>
    <s v="Pending"/>
    <n v="3.6328432903821302"/>
    <x v="3"/>
    <s v="Route A"/>
    <n v="687.28617786641701"/>
    <n v="3547.1300254801849"/>
    <n v="0.83325637871532887"/>
    <n v="4.5555555555555554"/>
    <n v="0"/>
  </r>
  <r>
    <s v="skincare"/>
    <s v="SKU64"/>
    <n v="89.634095608135297"/>
    <n v="11"/>
    <n v="134"/>
    <n v="8458.7308783671706"/>
    <x v="1"/>
    <n v="73"/>
    <n v="27"/>
    <n v="75"/>
    <n v="6"/>
    <s v="Carrier C"/>
    <n v="4.5853534681946497"/>
    <s v="Supplier 1"/>
    <s v="Delhi"/>
    <n v="17"/>
    <n v="328"/>
    <n v="6"/>
    <n v="8.6930424258772803"/>
    <s v="Fail"/>
    <n v="0.15948631471751401"/>
    <x v="1"/>
    <s v="Route C"/>
    <n v="771.225084681157"/>
    <n v="7674.2273977919413"/>
    <n v="0.90725517907401898"/>
    <n v="1.8356164383561644"/>
    <n v="0"/>
  </r>
  <r>
    <s v="skincare"/>
    <s v="SKU65"/>
    <n v="33.697717206643098"/>
    <n v="72"/>
    <n v="457"/>
    <n v="8354.5796864819895"/>
    <x v="3"/>
    <n v="57"/>
    <n v="24"/>
    <n v="54"/>
    <n v="8"/>
    <s v="Carrier C"/>
    <n v="6.5805413478845898"/>
    <s v="Supplier 5"/>
    <s v="Kolkata"/>
    <n v="16"/>
    <n v="358"/>
    <n v="21"/>
    <n v="1.59722274305067"/>
    <s v="Fail"/>
    <n v="4.9110959548423301"/>
    <x v="2"/>
    <s v="Route C"/>
    <n v="555.85910367174301"/>
    <n v="7790.542818719312"/>
    <n v="0.93248770268176273"/>
    <n v="8.0175438596491233"/>
    <n v="0"/>
  </r>
  <r>
    <s v="skincare"/>
    <s v="SKU66"/>
    <n v="26.034869773962001"/>
    <n v="52"/>
    <n v="704"/>
    <n v="8367.7216180201503"/>
    <x v="1"/>
    <n v="13"/>
    <n v="17"/>
    <n v="19"/>
    <n v="8"/>
    <s v="Carrier A"/>
    <n v="2.2161427287713602"/>
    <s v="Supplier 5"/>
    <s v="Kolkata"/>
    <n v="24"/>
    <n v="867"/>
    <n v="28"/>
    <n v="42.084436738309897"/>
    <s v="Fail"/>
    <n v="3.44806328834026"/>
    <x v="0"/>
    <s v="Route A"/>
    <n v="393.84334857842703"/>
    <n v="7929.5776899746415"/>
    <n v="0.9476388020483435"/>
    <n v="54.153846153846153"/>
    <n v="0"/>
  </r>
  <r>
    <s v="skincare"/>
    <s v="SKU67"/>
    <n v="87.755432354001002"/>
    <n v="16"/>
    <n v="513"/>
    <n v="9473.7980325083299"/>
    <x v="2"/>
    <n v="12"/>
    <n v="9"/>
    <n v="71"/>
    <n v="9"/>
    <s v="Carrier C"/>
    <n v="9.1478115447106294"/>
    <s v="Supplier 1"/>
    <s v="Mumbai"/>
    <n v="10"/>
    <n v="198"/>
    <n v="11"/>
    <n v="7.0578761469782298"/>
    <s v="Pass"/>
    <n v="0.131955444311814"/>
    <x v="3"/>
    <s v="Route C"/>
    <n v="169.27180138478599"/>
    <n v="9288.3205434318552"/>
    <n v="0.98042205581752662"/>
    <n v="42.75"/>
    <n v="1"/>
  </r>
  <r>
    <s v="haircare"/>
    <s v="SKU68"/>
    <n v="37.931812382790298"/>
    <n v="29"/>
    <n v="163"/>
    <n v="3550.21843278099"/>
    <x v="0"/>
    <n v="0"/>
    <n v="8"/>
    <n v="58"/>
    <n v="8"/>
    <s v="Carrier B"/>
    <n v="1.19425186488499"/>
    <s v="Supplier 2"/>
    <s v="Bangalore"/>
    <n v="2"/>
    <n v="375"/>
    <n v="18"/>
    <n v="97.113581563462205"/>
    <s v="Fail"/>
    <n v="1.9834678721741801"/>
    <x v="2"/>
    <s v="Route A"/>
    <n v="299.70630311810299"/>
    <n v="3152.2042962345404"/>
    <n v="0.88789023997188998"/>
    <n v="0"/>
    <n v="0"/>
  </r>
  <r>
    <s v="skincare"/>
    <s v="SKU69"/>
    <n v="54.865528517069698"/>
    <n v="62"/>
    <n v="511"/>
    <n v="1752.3810874841199"/>
    <x v="0"/>
    <n v="95"/>
    <n v="1"/>
    <n v="27"/>
    <n v="3"/>
    <s v="Carrier B"/>
    <n v="9.7052867901203399"/>
    <s v="Supplier 4"/>
    <s v="Kolkata"/>
    <n v="9"/>
    <n v="862"/>
    <n v="7"/>
    <n v="77.627765812748095"/>
    <s v="Pending"/>
    <n v="1.3623879886490999"/>
    <x v="1"/>
    <s v="Route A"/>
    <n v="207.66320620857499"/>
    <n v="1457.3848286726763"/>
    <n v="0.83165975659154856"/>
    <n v="5.3789473684210529"/>
    <n v="0"/>
  </r>
  <r>
    <s v="haircare"/>
    <s v="SKU70"/>
    <n v="47.914541824058702"/>
    <n v="90"/>
    <n v="32"/>
    <n v="7014.8879872033804"/>
    <x v="1"/>
    <n v="10"/>
    <n v="12"/>
    <n v="22"/>
    <n v="4"/>
    <s v="Carrier B"/>
    <n v="6.3157177546007199"/>
    <s v="Supplier 1"/>
    <s v="Bangalore"/>
    <n v="22"/>
    <n v="775"/>
    <n v="16"/>
    <n v="11.440781823761199"/>
    <s v="Pass"/>
    <n v="1.8305755986122301"/>
    <x v="0"/>
    <s v="Route C"/>
    <n v="183.27289874871099"/>
    <n v="6813.8585888763073"/>
    <n v="0.97134246495542154"/>
    <n v="3.2"/>
    <n v="1"/>
  </r>
  <r>
    <s v="cosmetics"/>
    <s v="SKU71"/>
    <n v="6.3815331627479601"/>
    <n v="14"/>
    <n v="637"/>
    <n v="8180.3370854254399"/>
    <x v="1"/>
    <n v="76"/>
    <n v="2"/>
    <n v="26"/>
    <n v="6"/>
    <s v="Carrier A"/>
    <n v="9.2281903170525101"/>
    <s v="Supplier 2"/>
    <s v="Bangalore"/>
    <n v="2"/>
    <n v="258"/>
    <n v="10"/>
    <n v="30.661677477859499"/>
    <s v="Pending"/>
    <n v="2.07875060787496"/>
    <x v="0"/>
    <s v="Route A"/>
    <n v="405.167067888855"/>
    <n v="7735.2801497416731"/>
    <n v="0.94559430362879471"/>
    <n v="8.3815789473684212"/>
    <n v="0"/>
  </r>
  <r>
    <s v="cosmetics"/>
    <s v="SKU72"/>
    <n v="90.204427520528"/>
    <n v="88"/>
    <n v="478"/>
    <n v="2633.1219813122502"/>
    <x v="0"/>
    <n v="57"/>
    <n v="29"/>
    <n v="77"/>
    <n v="9"/>
    <s v="Carrier A"/>
    <n v="6.5996141596895397"/>
    <s v="Supplier 1"/>
    <s v="Bangalore"/>
    <n v="21"/>
    <n v="152"/>
    <n v="11"/>
    <n v="55.760492895244198"/>
    <s v="Pending"/>
    <n v="3.2133296074383"/>
    <x v="2"/>
    <s v="Route B"/>
    <n v="677.94456984618296"/>
    <n v="1892.8173044111334"/>
    <n v="0.71884907643656659"/>
    <n v="8.3859649122807021"/>
    <n v="0"/>
  </r>
  <r>
    <s v="cosmetics"/>
    <s v="SKU73"/>
    <n v="83.851017681304597"/>
    <n v="41"/>
    <n v="375"/>
    <n v="7910.8869161406801"/>
    <x v="3"/>
    <n v="17"/>
    <n v="25"/>
    <n v="66"/>
    <n v="5"/>
    <s v="Carrier B"/>
    <n v="1.5129368369160701"/>
    <s v="Supplier 4"/>
    <s v="Chennai"/>
    <n v="13"/>
    <n v="444"/>
    <n v="4"/>
    <n v="46.870238797617098"/>
    <s v="Fail"/>
    <n v="4.6205460645137002"/>
    <x v="0"/>
    <s v="Route A"/>
    <n v="866.472800129657"/>
    <n v="6996.0309403764895"/>
    <n v="0.88435481565314777"/>
    <n v="22.058823529411764"/>
    <n v="0"/>
  </r>
  <r>
    <s v="haircare"/>
    <s v="SKU74"/>
    <n v="3.1700114135661499"/>
    <n v="64"/>
    <n v="904"/>
    <n v="5709.9452959692799"/>
    <x v="1"/>
    <n v="41"/>
    <n v="6"/>
    <n v="1"/>
    <n v="5"/>
    <s v="Carrier A"/>
    <n v="5.2376546500374399"/>
    <s v="Supplier 4"/>
    <s v="Delhi"/>
    <n v="1"/>
    <n v="919"/>
    <n v="9"/>
    <n v="80.580852156447804"/>
    <s v="Fail"/>
    <n v="0.39661272410993498"/>
    <x v="2"/>
    <s v="Route A"/>
    <n v="341.55265678322297"/>
    <n v="5282.5741323795719"/>
    <n v="0.92515319474402069"/>
    <n v="22.048780487804876"/>
    <n v="0"/>
  </r>
  <r>
    <s v="skincare"/>
    <s v="SKU75"/>
    <n v="92.996884233970604"/>
    <n v="29"/>
    <n v="106"/>
    <n v="1889.07358977933"/>
    <x v="0"/>
    <n v="16"/>
    <n v="20"/>
    <n v="56"/>
    <n v="10"/>
    <s v="Carrier C"/>
    <n v="2.47389776104546"/>
    <s v="Supplier 1"/>
    <s v="Chennai"/>
    <n v="25"/>
    <n v="759"/>
    <n v="11"/>
    <n v="48.064782640006499"/>
    <s v="Pass"/>
    <n v="2.0300690886687498"/>
    <x v="1"/>
    <s v="Route C"/>
    <n v="873.12964801765099"/>
    <n v="965.40526136062704"/>
    <n v="0.51104693146093894"/>
    <n v="6.625"/>
    <n v="1"/>
  </r>
  <r>
    <s v="haircare"/>
    <s v="SKU76"/>
    <n v="69.108799547430294"/>
    <n v="23"/>
    <n v="241"/>
    <n v="5328.3759842977497"/>
    <x v="3"/>
    <n v="38"/>
    <n v="1"/>
    <n v="22"/>
    <n v="10"/>
    <s v="Carrier A"/>
    <n v="7.0545383368369201"/>
    <s v="Supplier 2"/>
    <s v="Bangalore"/>
    <n v="25"/>
    <n v="985"/>
    <n v="24"/>
    <n v="64.323597795600193"/>
    <s v="Pending"/>
    <n v="2.1800374515822099"/>
    <x v="2"/>
    <s v="Route A"/>
    <n v="997.41345013319403"/>
    <n v="4259.5843980321188"/>
    <n v="0.79941513335108771"/>
    <n v="6.3421052631578947"/>
    <n v="0"/>
  </r>
  <r>
    <s v="haircare"/>
    <s v="SKU77"/>
    <n v="57.449742958971399"/>
    <n v="14"/>
    <n v="359"/>
    <n v="2483.7601775427902"/>
    <x v="2"/>
    <n v="96"/>
    <n v="28"/>
    <n v="57"/>
    <n v="4"/>
    <s v="Carrier B"/>
    <n v="6.7809466256178901"/>
    <s v="Supplier 1"/>
    <s v="Kolkata"/>
    <n v="26"/>
    <n v="334"/>
    <n v="5"/>
    <n v="42.952444748991802"/>
    <s v="Pass"/>
    <n v="3.0551418183075398"/>
    <x v="0"/>
    <s v="Route B"/>
    <n v="852.56809891984994"/>
    <n v="1581.4586872483303"/>
    <n v="0.63671955994273322"/>
    <n v="3.7395833333333335"/>
    <n v="1"/>
  </r>
  <r>
    <s v="haircare"/>
    <s v="SKU78"/>
    <n v="6.30688317611191"/>
    <n v="50"/>
    <n v="946"/>
    <n v="1292.45841793775"/>
    <x v="2"/>
    <n v="5"/>
    <n v="4"/>
    <n v="51"/>
    <n v="5"/>
    <s v="Carrier B"/>
    <n v="8.4670497708619905"/>
    <s v="Supplier 5"/>
    <s v="Mumbai"/>
    <n v="25"/>
    <n v="858"/>
    <n v="21"/>
    <n v="71.126514720403307"/>
    <s v="Pending"/>
    <n v="4.0968813324704501"/>
    <x v="3"/>
    <s v="Route C"/>
    <n v="323.59220343132199"/>
    <n v="889.27265001516287"/>
    <n v="0.68804739686255334"/>
    <n v="189.2"/>
    <n v="0"/>
  </r>
  <r>
    <s v="haircare"/>
    <s v="SKU79"/>
    <n v="57.057031221103202"/>
    <n v="56"/>
    <n v="198"/>
    <n v="7888.7232684270803"/>
    <x v="0"/>
    <n v="31"/>
    <n v="25"/>
    <n v="20"/>
    <n v="1"/>
    <s v="Carrier B"/>
    <n v="6.49632536429504"/>
    <s v="Supplier 3"/>
    <s v="Bangalore"/>
    <n v="5"/>
    <n v="228"/>
    <n v="12"/>
    <n v="57.870902924036201"/>
    <s v="Pending"/>
    <n v="0.16587162748060799"/>
    <x v="1"/>
    <s v="Route C"/>
    <n v="351.50421933503799"/>
    <n v="7472.8518208037103"/>
    <n v="0.94728279425292983"/>
    <n v="6.387096774193548"/>
    <n v="0"/>
  </r>
  <r>
    <s v="skincare"/>
    <s v="SKU80"/>
    <n v="91.128318350444303"/>
    <n v="75"/>
    <n v="872"/>
    <n v="8651.67268298206"/>
    <x v="2"/>
    <n v="39"/>
    <n v="14"/>
    <n v="41"/>
    <n v="2"/>
    <s v="Carrier C"/>
    <n v="2.8331846794189701"/>
    <s v="Supplier 3"/>
    <s v="Chennai"/>
    <n v="8"/>
    <n v="202"/>
    <n v="5"/>
    <n v="76.961228023819999"/>
    <s v="Fail"/>
    <n v="2.8496621985053299"/>
    <x v="3"/>
    <s v="Route B"/>
    <n v="787.77985049434403"/>
    <n v="7784.0984197844773"/>
    <n v="0.8997217884925176"/>
    <n v="22.358974358974358"/>
    <n v="0"/>
  </r>
  <r>
    <s v="haircare"/>
    <s v="SKU81"/>
    <n v="72.819206930318202"/>
    <n v="9"/>
    <n v="774"/>
    <n v="4384.4134000458598"/>
    <x v="2"/>
    <n v="48"/>
    <n v="6"/>
    <n v="8"/>
    <n v="5"/>
    <s v="Carrier B"/>
    <n v="4.0662775015120403"/>
    <s v="Supplier 3"/>
    <s v="Delhi"/>
    <n v="28"/>
    <n v="698"/>
    <n v="1"/>
    <n v="19.789592941903599"/>
    <s v="Pending"/>
    <n v="2.54754712154871"/>
    <x v="2"/>
    <s v="Route B"/>
    <n v="276.77833594679799"/>
    <n v="4083.7791936556468"/>
    <n v="0.93143114506787417"/>
    <n v="16.125"/>
    <n v="0"/>
  </r>
  <r>
    <s v="skincare"/>
    <s v="SKU82"/>
    <n v="17.034930739467899"/>
    <n v="13"/>
    <n v="336"/>
    <n v="2943.3818676094502"/>
    <x v="2"/>
    <n v="42"/>
    <n v="19"/>
    <n v="72"/>
    <n v="1"/>
    <s v="Carrier A"/>
    <n v="4.7081818735419301"/>
    <s v="Supplier 2"/>
    <s v="Mumbai"/>
    <n v="6"/>
    <n v="955"/>
    <n v="26"/>
    <n v="4.4652784349432402"/>
    <s v="Pending"/>
    <n v="4.1378770486223502"/>
    <x v="0"/>
    <s v="Route C"/>
    <n v="589.97855562804"/>
    <n v="2344.2298516729252"/>
    <n v="0.79644095027902617"/>
    <n v="8"/>
    <n v="0"/>
  </r>
  <r>
    <s v="haircare"/>
    <s v="SKU83"/>
    <n v="68.911246211606297"/>
    <n v="82"/>
    <n v="663"/>
    <n v="2411.7546321104901"/>
    <x v="2"/>
    <n v="65"/>
    <n v="24"/>
    <n v="7"/>
    <n v="8"/>
    <s v="Carrier B"/>
    <n v="4.94983957799694"/>
    <s v="Supplier 1"/>
    <s v="Bangalore"/>
    <n v="20"/>
    <n v="443"/>
    <n v="5"/>
    <n v="97.730593800533001"/>
    <s v="Fail"/>
    <n v="0.77300613406724705"/>
    <x v="0"/>
    <s v="Route A"/>
    <n v="682.97101822609295"/>
    <n v="1626.1031805058674"/>
    <n v="0.67424072036834404"/>
    <n v="10.199999999999999"/>
    <n v="0"/>
  </r>
  <r>
    <s v="haircare"/>
    <s v="SKU84"/>
    <n v="89.104367292102197"/>
    <n v="99"/>
    <n v="618"/>
    <n v="2048.2900998487098"/>
    <x v="2"/>
    <n v="73"/>
    <n v="26"/>
    <n v="80"/>
    <n v="10"/>
    <s v="Carrier A"/>
    <n v="8.3816156249226292"/>
    <s v="Supplier 5"/>
    <s v="Chennai"/>
    <n v="24"/>
    <n v="589"/>
    <n v="22"/>
    <n v="33.808636513209002"/>
    <s v="Pass"/>
    <n v="4.8434565771180402"/>
    <x v="1"/>
    <s v="Route B"/>
    <n v="465.45700596368698"/>
    <n v="1540.6428417468912"/>
    <n v="0.7521604688030693"/>
    <n v="8.4657534246575334"/>
    <n v="1"/>
  </r>
  <r>
    <s v="cosmetics"/>
    <s v="SKU85"/>
    <n v="76.962994415193805"/>
    <n v="83"/>
    <n v="25"/>
    <n v="8684.6130592538502"/>
    <x v="1"/>
    <n v="15"/>
    <n v="18"/>
    <n v="66"/>
    <n v="2"/>
    <s v="Carrier C"/>
    <n v="8.2491687048717193"/>
    <s v="Supplier 5"/>
    <s v="Chennai"/>
    <n v="4"/>
    <n v="211"/>
    <n v="2"/>
    <n v="69.929345518672307"/>
    <s v="Fail"/>
    <n v="1.3744289997457499"/>
    <x v="0"/>
    <s v="Route B"/>
    <n v="842.68683000464102"/>
    <n v="7763.7477150256655"/>
    <n v="0.89396587528479909"/>
    <n v="1.6666666666666667"/>
    <n v="0"/>
  </r>
  <r>
    <s v="skincare"/>
    <s v="SKU86"/>
    <n v="19.9981769404042"/>
    <n v="18"/>
    <n v="223"/>
    <n v="1229.59102856498"/>
    <x v="2"/>
    <n v="32"/>
    <n v="14"/>
    <n v="22"/>
    <n v="6"/>
    <s v="Carrier B"/>
    <n v="1.4543053101535499"/>
    <s v="Supplier 1"/>
    <s v="Mumbai"/>
    <n v="4"/>
    <n v="569"/>
    <n v="18"/>
    <n v="74.608969995194599"/>
    <s v="Pass"/>
    <n v="2.0515129307662399"/>
    <x v="2"/>
    <s v="Route A"/>
    <n v="264.25488983586598"/>
    <n v="889.2728634237659"/>
    <n v="0.72322653855209929"/>
    <n v="6.96875"/>
    <n v="1"/>
  </r>
  <r>
    <s v="haircare"/>
    <s v="SKU87"/>
    <n v="80.414036650355698"/>
    <n v="24"/>
    <n v="79"/>
    <n v="5133.8467010866898"/>
    <x v="3"/>
    <n v="5"/>
    <n v="7"/>
    <n v="55"/>
    <n v="10"/>
    <s v="Carrier A"/>
    <n v="6.5758037975485299"/>
    <s v="Supplier 3"/>
    <s v="Chennai"/>
    <n v="27"/>
    <n v="523"/>
    <n v="17"/>
    <n v="28.696996824143099"/>
    <s v="Fail"/>
    <n v="3.6937377878392699"/>
    <x v="3"/>
    <s v="Route B"/>
    <n v="879.35921773492396"/>
    <n v="4219.2146827300749"/>
    <n v="0.82184274840871008"/>
    <n v="15.8"/>
    <n v="0"/>
  </r>
  <r>
    <s v="cosmetics"/>
    <s v="SKU88"/>
    <n v="75.270406975724995"/>
    <n v="58"/>
    <n v="737"/>
    <n v="9444.7420330629793"/>
    <x v="3"/>
    <n v="60"/>
    <n v="18"/>
    <n v="85"/>
    <n v="7"/>
    <s v="Carrier A"/>
    <n v="3.8012531329310701"/>
    <s v="Supplier 2"/>
    <s v="Mumbai"/>
    <n v="21"/>
    <n v="953"/>
    <n v="11"/>
    <n v="68.1849190570411"/>
    <s v="Pending"/>
    <n v="0.722204401882931"/>
    <x v="3"/>
    <s v="Route A"/>
    <n v="103.916247960704"/>
    <n v="9268.839612912303"/>
    <n v="0.98137562470897577"/>
    <n v="12.283333333333333"/>
    <n v="0"/>
  </r>
  <r>
    <s v="cosmetics"/>
    <s v="SKU89"/>
    <n v="97.760085581938597"/>
    <n v="10"/>
    <n v="134"/>
    <n v="5924.6825668532301"/>
    <x v="2"/>
    <n v="90"/>
    <n v="1"/>
    <n v="27"/>
    <n v="8"/>
    <s v="Carrier B"/>
    <n v="9.9298162452772498"/>
    <s v="Supplier 1"/>
    <s v="Kolkata"/>
    <n v="23"/>
    <n v="370"/>
    <n v="11"/>
    <n v="46.603873381644398"/>
    <s v="Pending"/>
    <n v="1.9076657339590699"/>
    <x v="2"/>
    <s v="Route B"/>
    <n v="517.49997392906005"/>
    <n v="5350.6489032972495"/>
    <n v="0.903111490433678"/>
    <n v="1.4888888888888889"/>
    <n v="0"/>
  </r>
  <r>
    <s v="skincare"/>
    <s v="SKU90"/>
    <n v="13.881913501359101"/>
    <n v="56"/>
    <n v="320"/>
    <n v="9592.6335702803099"/>
    <x v="0"/>
    <n v="66"/>
    <n v="18"/>
    <n v="96"/>
    <n v="7"/>
    <s v="Carrier B"/>
    <n v="7.6744307081126903"/>
    <s v="Supplier 3"/>
    <s v="Bangalore"/>
    <n v="8"/>
    <n v="585"/>
    <n v="8"/>
    <n v="85.675963335797903"/>
    <s v="Pass"/>
    <n v="1.2193822244013801"/>
    <x v="2"/>
    <s v="Route B"/>
    <n v="990.07847250581096"/>
    <n v="8509.2047037305874"/>
    <n v="0.88705616047855951"/>
    <n v="4.8484848484848486"/>
    <n v="1"/>
  </r>
  <r>
    <s v="cosmetics"/>
    <s v="SKU91"/>
    <n v="62.111965463961702"/>
    <n v="90"/>
    <n v="916"/>
    <n v="1935.20679350759"/>
    <x v="3"/>
    <n v="98"/>
    <n v="22"/>
    <n v="85"/>
    <n v="7"/>
    <s v="Carrier B"/>
    <n v="7.4715140844011403"/>
    <s v="Supplier 4"/>
    <s v="Delhi"/>
    <n v="5"/>
    <n v="207"/>
    <n v="28"/>
    <n v="39.772882502339897"/>
    <s v="Pending"/>
    <n v="0.62600185820939402"/>
    <x v="2"/>
    <s v="Route B"/>
    <n v="996.77831495062298"/>
    <n v="891.18408197022586"/>
    <n v="0.46051103425228368"/>
    <n v="9.3469387755102034"/>
    <n v="0"/>
  </r>
  <r>
    <s v="cosmetics"/>
    <s v="SKU92"/>
    <n v="47.714233075820196"/>
    <n v="44"/>
    <n v="276"/>
    <n v="2100.1297546259302"/>
    <x v="3"/>
    <n v="90"/>
    <n v="25"/>
    <n v="10"/>
    <n v="8"/>
    <s v="Carrier B"/>
    <n v="4.4695000261236002"/>
    <s v="Supplier 2"/>
    <s v="Mumbai"/>
    <n v="4"/>
    <n v="671"/>
    <n v="29"/>
    <n v="62.612690395614301"/>
    <s v="Pass"/>
    <n v="0.33343182522473902"/>
    <x v="2"/>
    <s v="Route B"/>
    <n v="230.092782536762"/>
    <n v="1802.9547816674303"/>
    <n v="0.85849685129982267"/>
    <n v="3.0666666666666669"/>
    <n v="1"/>
  </r>
  <r>
    <s v="haircare"/>
    <s v="SKU93"/>
    <n v="69.290831002905406"/>
    <n v="88"/>
    <n v="114"/>
    <n v="4531.4021336919004"/>
    <x v="2"/>
    <n v="63"/>
    <n v="17"/>
    <n v="66"/>
    <n v="1"/>
    <s v="Carrier C"/>
    <n v="7.00643205900439"/>
    <s v="Supplier 4"/>
    <s v="Chennai"/>
    <n v="21"/>
    <n v="824"/>
    <n v="20"/>
    <n v="35.633652343343797"/>
    <s v="Fail"/>
    <n v="4.1657817954241398"/>
    <x v="1"/>
    <s v="Route A"/>
    <n v="823.52384588815505"/>
    <n v="3665.2382034013972"/>
    <n v="0.80885299853429526"/>
    <n v="1.8095238095238095"/>
    <n v="0"/>
  </r>
  <r>
    <s v="cosmetics"/>
    <s v="SKU94"/>
    <n v="3.0376887246314102"/>
    <n v="97"/>
    <n v="987"/>
    <n v="7888.3565466618702"/>
    <x v="2"/>
    <n v="77"/>
    <n v="26"/>
    <n v="72"/>
    <n v="9"/>
    <s v="Carrier B"/>
    <n v="6.9429459420325799"/>
    <s v="Supplier 2"/>
    <s v="Delhi"/>
    <n v="12"/>
    <n v="908"/>
    <n v="14"/>
    <n v="60.387378614862101"/>
    <s v="Pass"/>
    <n v="1.4636074984727701"/>
    <x v="2"/>
    <s v="Route B"/>
    <n v="846.66525698669398"/>
    <n v="6974.3609651182815"/>
    <n v="0.88413358649079243"/>
    <n v="12.818181818181818"/>
    <n v="1"/>
  </r>
  <r>
    <s v="haircare"/>
    <s v="SKU95"/>
    <n v="77.903927219447695"/>
    <n v="65"/>
    <n v="672"/>
    <n v="7386.3639440486604"/>
    <x v="2"/>
    <n v="15"/>
    <n v="14"/>
    <n v="26"/>
    <n v="9"/>
    <s v="Carrier B"/>
    <n v="8.6303388696027508"/>
    <s v="Supplier 4"/>
    <s v="Mumbai"/>
    <n v="18"/>
    <n v="450"/>
    <n v="26"/>
    <n v="58.890685768589897"/>
    <s v="Pending"/>
    <n v="1.21088212958506"/>
    <x v="1"/>
    <s v="Route A"/>
    <n v="778.86424137664699"/>
    <n v="6539.9786780338209"/>
    <n v="0.88541246106661331"/>
    <n v="44.8"/>
    <n v="0"/>
  </r>
  <r>
    <s v="cosmetics"/>
    <s v="SKU96"/>
    <n v="24.423131420373299"/>
    <n v="29"/>
    <n v="324"/>
    <n v="7698.4247656321104"/>
    <x v="0"/>
    <n v="67"/>
    <n v="2"/>
    <n v="32"/>
    <n v="3"/>
    <s v="Carrier C"/>
    <n v="5.3528780439967996"/>
    <s v="Supplier 3"/>
    <s v="Mumbai"/>
    <n v="28"/>
    <n v="648"/>
    <n v="28"/>
    <n v="17.803756331391199"/>
    <s v="Pending"/>
    <n v="3.8720476814821301"/>
    <x v="0"/>
    <s v="Route A"/>
    <n v="188.74214114905601"/>
    <n v="7486.525990107667"/>
    <n v="0.97247504756162351"/>
    <n v="4.8358208955223878"/>
    <n v="0"/>
  </r>
  <r>
    <s v="haircare"/>
    <s v="SKU97"/>
    <n v="3.5261112591434101"/>
    <n v="56"/>
    <n v="62"/>
    <n v="4370.9165799845296"/>
    <x v="3"/>
    <n v="46"/>
    <n v="19"/>
    <n v="4"/>
    <n v="9"/>
    <s v="Carrier A"/>
    <n v="7.9048456112096703"/>
    <s v="Supplier 4"/>
    <s v="Mumbai"/>
    <n v="10"/>
    <n v="535"/>
    <n v="13"/>
    <n v="65.765155926367399"/>
    <s v="Fail"/>
    <n v="3.3762378347179798"/>
    <x v="0"/>
    <s v="Route A"/>
    <n v="540.13242286796697"/>
    <n v="3757.1141555789859"/>
    <n v="0.85957123336183272"/>
    <n v="1.3478260869565217"/>
    <n v="0"/>
  </r>
  <r>
    <s v="skincare"/>
    <s v="SKU98"/>
    <n v="19.754604866878601"/>
    <n v="43"/>
    <n v="913"/>
    <n v="8525.9525596835192"/>
    <x v="1"/>
    <n v="53"/>
    <n v="1"/>
    <n v="27"/>
    <n v="7"/>
    <s v="Carrier B"/>
    <n v="1.4098010951380699"/>
    <s v="Supplier 5"/>
    <s v="Chennai"/>
    <n v="28"/>
    <n v="581"/>
    <n v="9"/>
    <n v="5.6046908643717801"/>
    <s v="Pending"/>
    <n v="2.9081221693512598"/>
    <x v="2"/>
    <s v="Route A"/>
    <n v="882.19886354704101"/>
    <n v="7636.7392041769681"/>
    <n v="0.89570510165499229"/>
    <n v="17.226415094339622"/>
    <n v="0"/>
  </r>
  <r>
    <s v="haircare"/>
    <s v="SKU99"/>
    <n v="68.517832699276596"/>
    <n v="17"/>
    <n v="627"/>
    <n v="9185.1858291817007"/>
    <x v="2"/>
    <n v="55"/>
    <n v="8"/>
    <n v="59"/>
    <n v="6"/>
    <s v="Carrier B"/>
    <n v="1.3110237561206199"/>
    <s v="Supplier 2"/>
    <s v="Chennai"/>
    <n v="29"/>
    <n v="921"/>
    <n v="2"/>
    <n v="38.072898520625998"/>
    <s v="Fail"/>
    <n v="0.34602729070550298"/>
    <x v="2"/>
    <s v="Route B"/>
    <n v="210.743008964246"/>
    <n v="8935.0588979407075"/>
    <n v="0.97276844084674585"/>
    <n v="11.4"/>
    <n v="0"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n v="0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e v="#NAME?"/>
    <e v="#NAME?"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  <r>
    <m/>
    <m/>
    <m/>
    <m/>
    <m/>
    <m/>
    <x v="4"/>
    <m/>
    <m/>
    <m/>
    <m/>
    <m/>
    <m/>
    <m/>
    <m/>
    <m/>
    <m/>
    <m/>
    <m/>
    <m/>
    <m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E6275-6F98-469B-ADF6-18A372C8714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8:B14" firstHeaderRow="1" firstDataRow="1" firstDataCol="1"/>
  <pivotFields count="2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0"/>
        <item x="3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 generated" fld="5" baseField="13" baseItem="0" numFmtId="2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35051-4334-42B8-82D0-1A9CE69526F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3:E29" firstHeaderRow="1" firstDataRow="1" firstDataCol="1"/>
  <pivotFields count="27">
    <pivotField showAll="0">
      <items count="5">
        <item x="2"/>
        <item x="0"/>
        <item x="1"/>
        <item h="1" x="3"/>
        <item t="default"/>
      </items>
    </pivotField>
    <pivotField showAll="0">
      <items count="102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0"/>
        <item x="3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24" showDataAs="percentOfTotal" baseField="13" baseItem="2" numFmtId="10"/>
  </dataField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93CEA-06D6-4495-93CF-D9ED346489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16:E20" firstHeaderRow="1" firstDataRow="1" firstDataCol="1"/>
  <pivotFields count="27">
    <pivotField axis="axisRow" showAll="0">
      <items count="5">
        <item x="2"/>
        <item x="0"/>
        <item x="1"/>
        <item h="1" x="3"/>
        <item t="default"/>
      </items>
    </pivotField>
    <pivotField showAll="0">
      <items count="102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4"/>
        <item x="0"/>
        <item x="3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4" showDataAs="percentOfTotal" baseField="0" baseItem="1" numFmtId="10"/>
  </dataFields>
  <chartFormats count="4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4D1A7-1FEB-456D-BB06-DB347D5490B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8:E12" firstHeaderRow="1" firstDataRow="1" firstDataCol="1"/>
  <pivotFields count="27"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4"/>
        <item x="0"/>
        <item x="3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generated" fld="5" baseField="0" baseItem="0" numFmtId="2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F8823-334E-42D2-BD07-DD15110AC08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4">
  <location ref="A14:C18" firstHeaderRow="0" firstDataRow="1" firstDataCol="1"/>
  <pivotFields count="27"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2">
        <item x="68"/>
        <item x="45"/>
        <item x="48"/>
        <item x="49"/>
        <item x="96"/>
        <item x="88"/>
        <item x="51"/>
        <item x="5"/>
        <item x="84"/>
        <item x="25"/>
        <item x="92"/>
        <item x="64"/>
        <item x="39"/>
        <item x="53"/>
        <item x="17"/>
        <item x="91"/>
        <item x="13"/>
        <item x="62"/>
        <item x="70"/>
        <item x="12"/>
        <item x="3"/>
        <item x="61"/>
        <item x="56"/>
        <item x="77"/>
        <item x="19"/>
        <item x="63"/>
        <item x="7"/>
        <item x="23"/>
        <item x="95"/>
        <item x="59"/>
        <item x="89"/>
        <item x="69"/>
        <item x="30"/>
        <item x="29"/>
        <item x="6"/>
        <item x="26"/>
        <item x="76"/>
        <item x="79"/>
        <item x="75"/>
        <item x="85"/>
        <item x="42"/>
        <item x="55"/>
        <item x="27"/>
        <item x="2"/>
        <item x="65"/>
        <item x="28"/>
        <item x="71"/>
        <item x="72"/>
        <item x="83"/>
        <item x="41"/>
        <item x="21"/>
        <item x="32"/>
        <item x="60"/>
        <item x="46"/>
        <item x="90"/>
        <item x="82"/>
        <item x="38"/>
        <item x="40"/>
        <item x="14"/>
        <item x="35"/>
        <item x="98"/>
        <item x="20"/>
        <item x="87"/>
        <item x="22"/>
        <item x="52"/>
        <item x="93"/>
        <item x="0"/>
        <item x="1"/>
        <item x="86"/>
        <item x="81"/>
        <item x="43"/>
        <item x="97"/>
        <item x="54"/>
        <item x="10"/>
        <item x="50"/>
        <item x="11"/>
        <item x="74"/>
        <item x="73"/>
        <item x="80"/>
        <item x="31"/>
        <item x="8"/>
        <item x="37"/>
        <item x="67"/>
        <item x="94"/>
        <item x="57"/>
        <item x="15"/>
        <item x="24"/>
        <item x="36"/>
        <item x="66"/>
        <item x="18"/>
        <item x="9"/>
        <item x="44"/>
        <item x="58"/>
        <item x="16"/>
        <item x="33"/>
        <item x="4"/>
        <item x="78"/>
        <item x="47"/>
        <item x="34"/>
        <item x="100"/>
        <item x="99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umber of products sold" fld="4" subtotal="average" baseField="0" baseItem="0"/>
    <dataField name="Average of Sales To Stock Ratio" fld="26" subtotal="average" baseField="0" baseItem="0"/>
  </dataFields>
  <chartFormats count="2">
    <chartFormat chart="5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C5865-DEF9-436C-AD44-DE3714D1DA2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1:E7" firstHeaderRow="1" firstDataRow="1" firstDataCol="1"/>
  <pivotFields count="27"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0"/>
        <item x="3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umber of products sold" fld="4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61151-3984-4A0D-92EA-D5F79E677AD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:B5" firstHeaderRow="1" firstDataRow="1" firstDataCol="1"/>
  <pivotFields count="27"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 of products sold" fld="4" baseField="0" baseItem="0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459D5-6B38-4776-88E9-E2E4A555B89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13:G19" firstHeaderRow="0" firstDataRow="1" firstDataCol="1"/>
  <pivotFields count="27"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0"/>
        <item x="3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2">
        <item x="68"/>
        <item x="45"/>
        <item x="48"/>
        <item x="49"/>
        <item x="96"/>
        <item x="88"/>
        <item x="51"/>
        <item x="5"/>
        <item x="84"/>
        <item x="25"/>
        <item x="92"/>
        <item x="64"/>
        <item x="39"/>
        <item x="53"/>
        <item x="17"/>
        <item x="91"/>
        <item x="13"/>
        <item x="62"/>
        <item x="70"/>
        <item x="12"/>
        <item x="3"/>
        <item x="61"/>
        <item x="56"/>
        <item x="77"/>
        <item x="19"/>
        <item x="63"/>
        <item x="7"/>
        <item x="23"/>
        <item x="95"/>
        <item x="59"/>
        <item x="89"/>
        <item x="69"/>
        <item x="30"/>
        <item x="29"/>
        <item x="6"/>
        <item x="26"/>
        <item x="76"/>
        <item x="79"/>
        <item x="75"/>
        <item x="85"/>
        <item x="42"/>
        <item x="55"/>
        <item x="27"/>
        <item x="2"/>
        <item x="65"/>
        <item x="28"/>
        <item x="71"/>
        <item x="72"/>
        <item x="83"/>
        <item x="41"/>
        <item x="21"/>
        <item x="32"/>
        <item x="60"/>
        <item x="46"/>
        <item x="90"/>
        <item x="82"/>
        <item x="38"/>
        <item x="40"/>
        <item x="14"/>
        <item x="35"/>
        <item x="98"/>
        <item x="20"/>
        <item x="87"/>
        <item x="22"/>
        <item x="52"/>
        <item x="93"/>
        <item x="0"/>
        <item x="1"/>
        <item x="86"/>
        <item x="81"/>
        <item x="43"/>
        <item x="97"/>
        <item x="54"/>
        <item x="10"/>
        <item x="50"/>
        <item x="11"/>
        <item x="74"/>
        <item x="73"/>
        <item x="80"/>
        <item x="31"/>
        <item x="8"/>
        <item x="37"/>
        <item x="67"/>
        <item x="94"/>
        <item x="57"/>
        <item x="15"/>
        <item x="24"/>
        <item x="36"/>
        <item x="66"/>
        <item x="18"/>
        <item x="9"/>
        <item x="44"/>
        <item x="58"/>
        <item x="16"/>
        <item x="33"/>
        <item x="4"/>
        <item x="78"/>
        <item x="47"/>
        <item x="34"/>
        <item x="100"/>
        <item x="99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umber of products sold" fld="4" subtotal="average" baseField="13" baseItem="0"/>
    <dataField name="Average of Sales To Stock Ratio" fld="26" subtotal="average" baseField="13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7554D-316F-4844-9C5C-AFC99C257D0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G11:H16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hipping costs" fld="12" subtotal="average" baseField="21" baseItem="0" numFmtId="164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069E4-53DF-46E8-8AB4-715D580B1E5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6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fect rates" fld="20" subtotal="average" baseField="2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60DB5-90A9-4F62-BDE3-B9F2B86CDD7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6" firstHeaderRow="1" firstDataRow="1" firstDataCol="1"/>
  <pivotFields count="2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generated" fld="5" showDataAs="percentOfTotal" baseField="21" baseItem="0" numFmtId="10"/>
  </dataFields>
  <chartFormats count="5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D547E-B0DB-47F9-B929-6327BAAEF35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G1:H6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fect rates" fld="20" subtotal="average" baseField="21" baseItem="0" numFmtId="2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0929A-E3F7-4829-AC61-32EF160A9CA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D1:E6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hipping times" fld="10" subtotal="average" baseField="21" baseItem="0" numFmtId="2"/>
  </dataFields>
  <chartFormats count="1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F2640-F758-4C85-A6B0-1CFC440124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:D24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E62BD-7C53-4591-A79B-20EE90FBD159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1:E16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ass" fld="27" subtotal="average" baseField="21" baseItem="0" numFmtId="10"/>
  </dataFields>
  <chartFormats count="5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workbookViewId="0">
      <selection activeCell="D6" sqref="D6"/>
    </sheetView>
  </sheetViews>
  <sheetFormatPr defaultColWidth="12.6640625" defaultRowHeight="15.75" customHeight="1" x14ac:dyDescent="0.25"/>
  <cols>
    <col min="1" max="2" width="12.6640625" style="8"/>
    <col min="3" max="3" width="12.6640625" style="11"/>
    <col min="4" max="4" width="12.6640625" style="12"/>
    <col min="5" max="5" width="23.109375" style="15" bestFit="1" customWidth="1"/>
    <col min="6" max="6" width="12.6640625" style="18"/>
    <col min="7" max="7" width="12.6640625" style="8"/>
    <col min="8" max="9" width="12.6640625" style="15"/>
    <col min="10" max="10" width="15.6640625" style="15" customWidth="1"/>
    <col min="11" max="11" width="12.6640625" style="15"/>
    <col min="12" max="12" width="12.6640625" style="8"/>
    <col min="13" max="13" width="12.6640625" style="18"/>
    <col min="14" max="15" width="12.6640625" style="8"/>
    <col min="16" max="18" width="12.6640625" style="15"/>
    <col min="19" max="19" width="12.6640625" style="18"/>
    <col min="20" max="20" width="12.6640625" style="8"/>
    <col min="22" max="23" width="12.6640625" style="8"/>
    <col min="24" max="25" width="12.6640625" style="18"/>
    <col min="26" max="26" width="12.6640625" style="22"/>
    <col min="27" max="27" width="17.77734375" style="25" customWidth="1"/>
  </cols>
  <sheetData>
    <row r="1" spans="1:28" x14ac:dyDescent="0.25">
      <c r="A1" s="6" t="s">
        <v>0</v>
      </c>
      <c r="B1" s="6" t="s">
        <v>1</v>
      </c>
      <c r="C1" s="9" t="s">
        <v>2</v>
      </c>
      <c r="D1" s="1" t="s">
        <v>3</v>
      </c>
      <c r="E1" s="13" t="s">
        <v>4</v>
      </c>
      <c r="F1" s="16" t="s">
        <v>5</v>
      </c>
      <c r="G1" s="6" t="s">
        <v>6</v>
      </c>
      <c r="H1" s="13" t="s">
        <v>7</v>
      </c>
      <c r="I1" s="13" t="s">
        <v>9</v>
      </c>
      <c r="J1" s="13" t="s">
        <v>10</v>
      </c>
      <c r="K1" s="13" t="s">
        <v>12</v>
      </c>
      <c r="L1" s="6" t="s">
        <v>13</v>
      </c>
      <c r="M1" s="16" t="s">
        <v>14</v>
      </c>
      <c r="N1" s="6" t="s">
        <v>15</v>
      </c>
      <c r="O1" s="6" t="s">
        <v>16</v>
      </c>
      <c r="P1" s="13" t="s">
        <v>17</v>
      </c>
      <c r="Q1" s="13" t="s">
        <v>18</v>
      </c>
      <c r="R1" s="13" t="s">
        <v>20</v>
      </c>
      <c r="S1" s="16" t="s">
        <v>22</v>
      </c>
      <c r="T1" s="6" t="s">
        <v>24</v>
      </c>
      <c r="U1" s="2" t="s">
        <v>25</v>
      </c>
      <c r="V1" s="6" t="s">
        <v>26</v>
      </c>
      <c r="W1" s="6" t="s">
        <v>27</v>
      </c>
      <c r="X1" s="16" t="s">
        <v>28</v>
      </c>
      <c r="Y1" s="16" t="s">
        <v>29</v>
      </c>
      <c r="Z1" s="20" t="s">
        <v>19</v>
      </c>
      <c r="AA1" s="24" t="s">
        <v>30</v>
      </c>
      <c r="AB1" s="26" t="s">
        <v>72</v>
      </c>
    </row>
    <row r="2" spans="1:28" x14ac:dyDescent="0.25">
      <c r="A2" s="7" t="s">
        <v>31</v>
      </c>
      <c r="B2" s="7" t="s">
        <v>32</v>
      </c>
      <c r="C2" s="10">
        <v>69.808005542115694</v>
      </c>
      <c r="D2" s="3">
        <v>55</v>
      </c>
      <c r="E2" s="14">
        <v>802</v>
      </c>
      <c r="F2" s="17">
        <v>8661.9967923923796</v>
      </c>
      <c r="G2" s="7" t="s">
        <v>33</v>
      </c>
      <c r="H2" s="14">
        <v>58</v>
      </c>
      <c r="I2" s="14">
        <v>7</v>
      </c>
      <c r="J2" s="14">
        <v>96</v>
      </c>
      <c r="K2" s="14">
        <v>4</v>
      </c>
      <c r="L2" s="7" t="s">
        <v>34</v>
      </c>
      <c r="M2" s="17">
        <v>2.9565721394308002</v>
      </c>
      <c r="N2" s="7" t="s">
        <v>35</v>
      </c>
      <c r="O2" s="7" t="s">
        <v>36</v>
      </c>
      <c r="P2" s="14">
        <v>29</v>
      </c>
      <c r="Q2" s="14">
        <v>215</v>
      </c>
      <c r="R2" s="14">
        <v>29</v>
      </c>
      <c r="S2" s="17">
        <v>46.279879240508301</v>
      </c>
      <c r="T2" s="7" t="s">
        <v>37</v>
      </c>
      <c r="U2" s="4">
        <v>0.226410360849925</v>
      </c>
      <c r="V2" s="7" t="s">
        <v>38</v>
      </c>
      <c r="W2" s="7" t="s">
        <v>39</v>
      </c>
      <c r="X2" s="17">
        <v>187.75207545920301</v>
      </c>
      <c r="Y2" s="17">
        <f t="shared" ref="Y2:Y101" si="0">F2-M2-X2-S2</f>
        <v>8425.0082655532387</v>
      </c>
      <c r="Z2" s="23">
        <f>Y2/F2</f>
        <v>0.97264042777673598</v>
      </c>
      <c r="AA2" s="3">
        <f>IFERROR(E2/H2,0)</f>
        <v>13.827586206896552</v>
      </c>
      <c r="AB2">
        <f>IF(T2="Pass",1,0)</f>
        <v>0</v>
      </c>
    </row>
    <row r="3" spans="1:28" x14ac:dyDescent="0.25">
      <c r="A3" s="7" t="s">
        <v>40</v>
      </c>
      <c r="B3" s="7" t="s">
        <v>41</v>
      </c>
      <c r="C3" s="10">
        <v>14.8435232750843</v>
      </c>
      <c r="D3" s="3">
        <v>95</v>
      </c>
      <c r="E3" s="14">
        <v>736</v>
      </c>
      <c r="F3" s="17">
        <v>7460.9000654458396</v>
      </c>
      <c r="G3" s="7" t="s">
        <v>42</v>
      </c>
      <c r="H3" s="14">
        <v>53</v>
      </c>
      <c r="I3" s="14">
        <v>30</v>
      </c>
      <c r="J3" s="14">
        <v>37</v>
      </c>
      <c r="K3" s="14">
        <v>2</v>
      </c>
      <c r="L3" s="7" t="s">
        <v>43</v>
      </c>
      <c r="M3" s="17">
        <v>9.7165747714313095</v>
      </c>
      <c r="N3" s="7" t="s">
        <v>35</v>
      </c>
      <c r="O3" s="7" t="s">
        <v>36</v>
      </c>
      <c r="P3" s="14">
        <v>23</v>
      </c>
      <c r="Q3" s="14">
        <v>517</v>
      </c>
      <c r="R3" s="14">
        <v>30</v>
      </c>
      <c r="S3" s="17">
        <v>33.616768953730002</v>
      </c>
      <c r="T3" s="7" t="s">
        <v>37</v>
      </c>
      <c r="U3" s="4">
        <v>4.8540680263886999</v>
      </c>
      <c r="V3" s="7" t="s">
        <v>38</v>
      </c>
      <c r="W3" s="7" t="s">
        <v>39</v>
      </c>
      <c r="X3" s="17">
        <v>503.06557914966902</v>
      </c>
      <c r="Y3" s="17">
        <f t="shared" si="0"/>
        <v>6914.501142571009</v>
      </c>
      <c r="Z3" s="23">
        <f t="shared" ref="Z3:Z66" si="1">Y3/F3</f>
        <v>0.92676501252102217</v>
      </c>
      <c r="AA3" s="3">
        <f>IFERROR(E3/H3,0)</f>
        <v>13.886792452830189</v>
      </c>
      <c r="AB3">
        <f t="shared" ref="AB3:AB66" si="2">IF(T3="Pass",1,0)</f>
        <v>0</v>
      </c>
    </row>
    <row r="4" spans="1:28" x14ac:dyDescent="0.25">
      <c r="A4" s="7" t="s">
        <v>31</v>
      </c>
      <c r="B4" s="7" t="s">
        <v>44</v>
      </c>
      <c r="C4" s="10">
        <v>11.319683293090501</v>
      </c>
      <c r="D4" s="3">
        <v>34</v>
      </c>
      <c r="E4" s="14">
        <v>8</v>
      </c>
      <c r="F4" s="17">
        <v>9577.7496258687297</v>
      </c>
      <c r="G4" s="7" t="s">
        <v>45</v>
      </c>
      <c r="H4" s="14">
        <v>1</v>
      </c>
      <c r="I4" s="14">
        <v>10</v>
      </c>
      <c r="J4" s="14">
        <v>88</v>
      </c>
      <c r="K4" s="14">
        <v>2</v>
      </c>
      <c r="L4" s="7" t="s">
        <v>34</v>
      </c>
      <c r="M4" s="17">
        <v>8.0544792617321495</v>
      </c>
      <c r="N4" s="7" t="s">
        <v>46</v>
      </c>
      <c r="O4" s="7" t="s">
        <v>36</v>
      </c>
      <c r="P4" s="14">
        <v>12</v>
      </c>
      <c r="Q4" s="14">
        <v>971</v>
      </c>
      <c r="R4" s="14">
        <v>27</v>
      </c>
      <c r="S4" s="17">
        <v>30.6880193482842</v>
      </c>
      <c r="T4" s="7" t="s">
        <v>37</v>
      </c>
      <c r="U4" s="4">
        <v>4.5805926191992201</v>
      </c>
      <c r="V4" s="7" t="s">
        <v>47</v>
      </c>
      <c r="W4" s="7" t="s">
        <v>48</v>
      </c>
      <c r="X4" s="17">
        <v>141.920281771519</v>
      </c>
      <c r="Y4" s="17">
        <f t="shared" si="0"/>
        <v>9397.0868454871925</v>
      </c>
      <c r="Z4" s="23">
        <f t="shared" si="1"/>
        <v>0.9811372412687025</v>
      </c>
      <c r="AA4" s="3">
        <f t="shared" ref="AA4:AA67" si="3">IFERROR(E4/H4,0)</f>
        <v>8</v>
      </c>
      <c r="AB4">
        <f t="shared" si="2"/>
        <v>0</v>
      </c>
    </row>
    <row r="5" spans="1:28" x14ac:dyDescent="0.25">
      <c r="A5" s="7" t="s">
        <v>40</v>
      </c>
      <c r="B5" s="7" t="s">
        <v>49</v>
      </c>
      <c r="C5" s="10">
        <v>61.1633430164377</v>
      </c>
      <c r="D5" s="3">
        <v>68</v>
      </c>
      <c r="E5" s="14">
        <v>83</v>
      </c>
      <c r="F5" s="17">
        <v>7766.8364256852301</v>
      </c>
      <c r="G5" s="7" t="s">
        <v>33</v>
      </c>
      <c r="H5" s="14">
        <v>23</v>
      </c>
      <c r="I5" s="14">
        <v>13</v>
      </c>
      <c r="J5" s="14">
        <v>59</v>
      </c>
      <c r="K5" s="14">
        <v>6</v>
      </c>
      <c r="L5" s="7" t="s">
        <v>50</v>
      </c>
      <c r="M5" s="17">
        <v>1.7295685635434199</v>
      </c>
      <c r="N5" s="7" t="s">
        <v>51</v>
      </c>
      <c r="O5" s="7" t="s">
        <v>52</v>
      </c>
      <c r="P5" s="14">
        <v>24</v>
      </c>
      <c r="Q5" s="14">
        <v>937</v>
      </c>
      <c r="R5" s="14">
        <v>18</v>
      </c>
      <c r="S5" s="17">
        <v>35.624741397125</v>
      </c>
      <c r="T5" s="7" t="s">
        <v>53</v>
      </c>
      <c r="U5" s="4">
        <v>4.7466486206477496</v>
      </c>
      <c r="V5" s="7" t="s">
        <v>54</v>
      </c>
      <c r="W5" s="7" t="s">
        <v>55</v>
      </c>
      <c r="X5" s="17">
        <v>254.776159219286</v>
      </c>
      <c r="Y5" s="17">
        <f t="shared" si="0"/>
        <v>7474.705956505275</v>
      </c>
      <c r="Z5" s="23">
        <f t="shared" si="1"/>
        <v>0.96238745698134331</v>
      </c>
      <c r="AA5" s="3">
        <f t="shared" si="3"/>
        <v>3.6086956521739131</v>
      </c>
      <c r="AB5">
        <f t="shared" si="2"/>
        <v>0</v>
      </c>
    </row>
    <row r="6" spans="1:28" x14ac:dyDescent="0.25">
      <c r="A6" s="7" t="s">
        <v>40</v>
      </c>
      <c r="B6" s="7" t="s">
        <v>56</v>
      </c>
      <c r="C6" s="10">
        <v>4.8054960363458896</v>
      </c>
      <c r="D6" s="3">
        <v>26</v>
      </c>
      <c r="E6" s="14">
        <v>871</v>
      </c>
      <c r="F6" s="17">
        <v>2686.50515156744</v>
      </c>
      <c r="G6" s="7" t="s">
        <v>33</v>
      </c>
      <c r="H6" s="14">
        <v>5</v>
      </c>
      <c r="I6" s="14">
        <v>3</v>
      </c>
      <c r="J6" s="14">
        <v>56</v>
      </c>
      <c r="K6" s="14">
        <v>8</v>
      </c>
      <c r="L6" s="7" t="s">
        <v>43</v>
      </c>
      <c r="M6" s="17">
        <v>3.8905479158706702</v>
      </c>
      <c r="N6" s="7" t="s">
        <v>46</v>
      </c>
      <c r="O6" s="7" t="s">
        <v>57</v>
      </c>
      <c r="P6" s="14">
        <v>5</v>
      </c>
      <c r="Q6" s="14">
        <v>414</v>
      </c>
      <c r="R6" s="14">
        <v>3</v>
      </c>
      <c r="S6" s="17">
        <v>92.065160598712794</v>
      </c>
      <c r="T6" s="7" t="s">
        <v>53</v>
      </c>
      <c r="U6" s="4">
        <v>3.1455795228330001</v>
      </c>
      <c r="V6" s="7" t="s">
        <v>47</v>
      </c>
      <c r="W6" s="7" t="s">
        <v>55</v>
      </c>
      <c r="X6" s="17">
        <v>923.44063171192204</v>
      </c>
      <c r="Y6" s="17">
        <f t="shared" si="0"/>
        <v>1667.1088113409346</v>
      </c>
      <c r="Z6" s="23">
        <f t="shared" si="1"/>
        <v>0.62054927025479956</v>
      </c>
      <c r="AA6" s="3">
        <f t="shared" si="3"/>
        <v>174.2</v>
      </c>
      <c r="AB6">
        <f t="shared" si="2"/>
        <v>0</v>
      </c>
    </row>
    <row r="7" spans="1:28" x14ac:dyDescent="0.25">
      <c r="A7" s="7" t="s">
        <v>31</v>
      </c>
      <c r="B7" s="7" t="s">
        <v>58</v>
      </c>
      <c r="C7" s="10">
        <v>1.6999760138659299</v>
      </c>
      <c r="D7" s="3">
        <v>87</v>
      </c>
      <c r="E7" s="14">
        <v>147</v>
      </c>
      <c r="F7" s="17">
        <v>2828.3487459757498</v>
      </c>
      <c r="G7" s="7" t="s">
        <v>33</v>
      </c>
      <c r="H7" s="14">
        <v>90</v>
      </c>
      <c r="I7" s="14">
        <v>27</v>
      </c>
      <c r="J7" s="14">
        <v>66</v>
      </c>
      <c r="K7" s="14">
        <v>3</v>
      </c>
      <c r="L7" s="7" t="s">
        <v>34</v>
      </c>
      <c r="M7" s="17">
        <v>4.4440988643822896</v>
      </c>
      <c r="N7" s="7" t="s">
        <v>59</v>
      </c>
      <c r="O7" s="7" t="s">
        <v>60</v>
      </c>
      <c r="P7" s="14">
        <v>10</v>
      </c>
      <c r="Q7" s="14">
        <v>104</v>
      </c>
      <c r="R7" s="14">
        <v>17</v>
      </c>
      <c r="S7" s="17">
        <v>56.766475557431797</v>
      </c>
      <c r="T7" s="7" t="s">
        <v>53</v>
      </c>
      <c r="U7" s="4">
        <v>2.7791935115711599</v>
      </c>
      <c r="V7" s="7" t="s">
        <v>38</v>
      </c>
      <c r="W7" s="7" t="s">
        <v>55</v>
      </c>
      <c r="X7" s="17">
        <v>235.461236735537</v>
      </c>
      <c r="Y7" s="17">
        <f t="shared" si="0"/>
        <v>2531.6769348183984</v>
      </c>
      <c r="Z7" s="23">
        <f t="shared" si="1"/>
        <v>0.89510776859485097</v>
      </c>
      <c r="AA7" s="3">
        <f t="shared" si="3"/>
        <v>1.6333333333333333</v>
      </c>
      <c r="AB7">
        <f t="shared" si="2"/>
        <v>0</v>
      </c>
    </row>
    <row r="8" spans="1:28" x14ac:dyDescent="0.25">
      <c r="A8" s="7" t="s">
        <v>40</v>
      </c>
      <c r="B8" s="7" t="s">
        <v>61</v>
      </c>
      <c r="C8" s="10">
        <v>4.0783328631079403</v>
      </c>
      <c r="D8" s="3">
        <v>48</v>
      </c>
      <c r="E8" s="14">
        <v>65</v>
      </c>
      <c r="F8" s="17">
        <v>7823.4765595317303</v>
      </c>
      <c r="G8" s="7" t="s">
        <v>63</v>
      </c>
      <c r="H8" s="14">
        <v>11</v>
      </c>
      <c r="I8" s="14">
        <v>15</v>
      </c>
      <c r="J8" s="14">
        <v>58</v>
      </c>
      <c r="K8" s="14">
        <v>8</v>
      </c>
      <c r="L8" s="7" t="s">
        <v>50</v>
      </c>
      <c r="M8" s="17">
        <v>3.8807633029519999</v>
      </c>
      <c r="N8" s="7" t="s">
        <v>35</v>
      </c>
      <c r="O8" s="7" t="s">
        <v>52</v>
      </c>
      <c r="P8" s="14">
        <v>14</v>
      </c>
      <c r="Q8" s="14">
        <v>314</v>
      </c>
      <c r="R8" s="14">
        <v>24</v>
      </c>
      <c r="S8" s="17">
        <v>1.0850685695870601</v>
      </c>
      <c r="T8" s="7" t="s">
        <v>37</v>
      </c>
      <c r="U8" s="4">
        <v>1.0009106193041299</v>
      </c>
      <c r="V8" s="7" t="s">
        <v>65</v>
      </c>
      <c r="W8" s="7" t="s">
        <v>55</v>
      </c>
      <c r="X8" s="17">
        <v>134.36909686103101</v>
      </c>
      <c r="Y8" s="17">
        <f t="shared" si="0"/>
        <v>7684.1416307981608</v>
      </c>
      <c r="Z8" s="23">
        <f t="shared" si="1"/>
        <v>0.98219015195184411</v>
      </c>
      <c r="AA8" s="3">
        <f t="shared" si="3"/>
        <v>5.9090909090909092</v>
      </c>
      <c r="AB8">
        <f t="shared" si="2"/>
        <v>0</v>
      </c>
    </row>
    <row r="9" spans="1:28" x14ac:dyDescent="0.25">
      <c r="A9" s="7" t="s">
        <v>66</v>
      </c>
      <c r="B9" s="7" t="s">
        <v>67</v>
      </c>
      <c r="C9" s="10">
        <v>42.958384382459997</v>
      </c>
      <c r="D9" s="3">
        <v>59</v>
      </c>
      <c r="E9" s="14">
        <v>426</v>
      </c>
      <c r="F9" s="17">
        <v>8496.1038130898305</v>
      </c>
      <c r="G9" s="7" t="s">
        <v>42</v>
      </c>
      <c r="H9" s="14">
        <v>93</v>
      </c>
      <c r="I9" s="14">
        <v>17</v>
      </c>
      <c r="J9" s="14">
        <v>11</v>
      </c>
      <c r="K9" s="14">
        <v>1</v>
      </c>
      <c r="L9" s="7" t="s">
        <v>34</v>
      </c>
      <c r="M9" s="17">
        <v>2.3483387844177801</v>
      </c>
      <c r="N9" s="7" t="s">
        <v>59</v>
      </c>
      <c r="O9" s="7" t="s">
        <v>60</v>
      </c>
      <c r="P9" s="14">
        <v>22</v>
      </c>
      <c r="Q9" s="14">
        <v>564</v>
      </c>
      <c r="R9" s="14">
        <v>1</v>
      </c>
      <c r="S9" s="17">
        <v>99.466108603599096</v>
      </c>
      <c r="T9" s="7" t="s">
        <v>53</v>
      </c>
      <c r="U9" s="4">
        <v>0.39817718685065001</v>
      </c>
      <c r="V9" s="7" t="s">
        <v>38</v>
      </c>
      <c r="W9" s="7" t="s">
        <v>48</v>
      </c>
      <c r="X9" s="17">
        <v>802.05631181755803</v>
      </c>
      <c r="Y9" s="17">
        <f t="shared" si="0"/>
        <v>7592.2330538842562</v>
      </c>
      <c r="Z9" s="23">
        <f t="shared" si="1"/>
        <v>0.89361349871773066</v>
      </c>
      <c r="AA9" s="3">
        <f t="shared" si="3"/>
        <v>4.580645161290323</v>
      </c>
      <c r="AB9">
        <f t="shared" si="2"/>
        <v>0</v>
      </c>
    </row>
    <row r="10" spans="1:28" x14ac:dyDescent="0.25">
      <c r="A10" s="7" t="s">
        <v>66</v>
      </c>
      <c r="B10" s="7" t="s">
        <v>68</v>
      </c>
      <c r="C10" s="10">
        <v>68.717596748527299</v>
      </c>
      <c r="D10" s="3">
        <v>78</v>
      </c>
      <c r="E10" s="14">
        <v>150</v>
      </c>
      <c r="F10" s="17">
        <v>7517.3632106311197</v>
      </c>
      <c r="G10" s="7" t="s">
        <v>42</v>
      </c>
      <c r="H10" s="14">
        <v>5</v>
      </c>
      <c r="I10" s="14">
        <v>10</v>
      </c>
      <c r="J10" s="14">
        <v>15</v>
      </c>
      <c r="K10" s="14">
        <v>7</v>
      </c>
      <c r="L10" s="7" t="s">
        <v>50</v>
      </c>
      <c r="M10" s="17">
        <v>3.4047338570830199</v>
      </c>
      <c r="N10" s="7" t="s">
        <v>59</v>
      </c>
      <c r="O10" s="7" t="s">
        <v>36</v>
      </c>
      <c r="P10" s="14">
        <v>13</v>
      </c>
      <c r="Q10" s="14">
        <v>769</v>
      </c>
      <c r="R10" s="14">
        <v>8</v>
      </c>
      <c r="S10" s="17">
        <v>11.423027139565599</v>
      </c>
      <c r="T10" s="7" t="s">
        <v>37</v>
      </c>
      <c r="U10" s="4">
        <v>2.7098626911099601</v>
      </c>
      <c r="V10" s="7" t="s">
        <v>65</v>
      </c>
      <c r="W10" s="7" t="s">
        <v>39</v>
      </c>
      <c r="X10" s="17">
        <v>505.55713422546398</v>
      </c>
      <c r="Y10" s="17">
        <f t="shared" si="0"/>
        <v>6996.9783154090073</v>
      </c>
      <c r="Z10" s="23">
        <f t="shared" si="1"/>
        <v>0.93077560832950312</v>
      </c>
      <c r="AA10" s="3">
        <f t="shared" si="3"/>
        <v>30</v>
      </c>
      <c r="AB10">
        <f t="shared" si="2"/>
        <v>0</v>
      </c>
    </row>
    <row r="11" spans="1:28" x14ac:dyDescent="0.25">
      <c r="A11" s="7" t="s">
        <v>40</v>
      </c>
      <c r="B11" s="7" t="s">
        <v>69</v>
      </c>
      <c r="C11" s="10">
        <v>64.0157329412785</v>
      </c>
      <c r="D11" s="3">
        <v>35</v>
      </c>
      <c r="E11" s="14">
        <v>980</v>
      </c>
      <c r="F11" s="17">
        <v>4971.1459875855498</v>
      </c>
      <c r="G11" s="7" t="s">
        <v>45</v>
      </c>
      <c r="H11" s="14">
        <v>14</v>
      </c>
      <c r="I11" s="14">
        <v>27</v>
      </c>
      <c r="J11" s="14">
        <v>83</v>
      </c>
      <c r="K11" s="14">
        <v>1</v>
      </c>
      <c r="L11" s="7" t="s">
        <v>43</v>
      </c>
      <c r="M11" s="17">
        <v>7.1666452910482104</v>
      </c>
      <c r="N11" s="7" t="s">
        <v>62</v>
      </c>
      <c r="O11" s="7" t="s">
        <v>70</v>
      </c>
      <c r="P11" s="14">
        <v>29</v>
      </c>
      <c r="Q11" s="14">
        <v>963</v>
      </c>
      <c r="R11" s="14">
        <v>23</v>
      </c>
      <c r="S11" s="17">
        <v>47.957601634951502</v>
      </c>
      <c r="T11" s="7" t="s">
        <v>37</v>
      </c>
      <c r="U11" s="4">
        <v>3.8446144787675798</v>
      </c>
      <c r="V11" s="7" t="s">
        <v>54</v>
      </c>
      <c r="W11" s="7" t="s">
        <v>39</v>
      </c>
      <c r="X11" s="17">
        <v>995.92946149864099</v>
      </c>
      <c r="Y11" s="17">
        <f t="shared" si="0"/>
        <v>3920.0922791609087</v>
      </c>
      <c r="Z11" s="23">
        <f t="shared" si="1"/>
        <v>0.78856913254017502</v>
      </c>
      <c r="AA11" s="3">
        <f t="shared" si="3"/>
        <v>70</v>
      </c>
      <c r="AB11">
        <f t="shared" si="2"/>
        <v>0</v>
      </c>
    </row>
    <row r="12" spans="1:28" x14ac:dyDescent="0.25">
      <c r="A12" s="7" t="s">
        <v>40</v>
      </c>
      <c r="B12" s="7" t="s">
        <v>71</v>
      </c>
      <c r="C12" s="10">
        <v>15.707795681912099</v>
      </c>
      <c r="D12" s="3">
        <v>11</v>
      </c>
      <c r="E12" s="14">
        <v>996</v>
      </c>
      <c r="F12" s="17">
        <v>2330.9658020919401</v>
      </c>
      <c r="G12" s="7" t="s">
        <v>33</v>
      </c>
      <c r="H12" s="14">
        <v>51</v>
      </c>
      <c r="I12" s="14">
        <v>13</v>
      </c>
      <c r="J12" s="14">
        <v>80</v>
      </c>
      <c r="K12" s="14">
        <v>2</v>
      </c>
      <c r="L12" s="7" t="s">
        <v>50</v>
      </c>
      <c r="M12" s="17">
        <v>8.6732112112786108</v>
      </c>
      <c r="N12" s="7" t="s">
        <v>51</v>
      </c>
      <c r="O12" s="7" t="s">
        <v>52</v>
      </c>
      <c r="P12" s="14">
        <v>18</v>
      </c>
      <c r="Q12" s="14">
        <v>830</v>
      </c>
      <c r="R12" s="14">
        <v>5</v>
      </c>
      <c r="S12" s="17">
        <v>96.527352785310896</v>
      </c>
      <c r="T12" s="7" t="s">
        <v>72</v>
      </c>
      <c r="U12" s="4">
        <v>1.72731392835594</v>
      </c>
      <c r="V12" s="7" t="s">
        <v>38</v>
      </c>
      <c r="W12" s="7" t="s">
        <v>39</v>
      </c>
      <c r="X12" s="17">
        <v>806.10317770292295</v>
      </c>
      <c r="Y12" s="17">
        <f t="shared" si="0"/>
        <v>1419.6620603924275</v>
      </c>
      <c r="Z12" s="23">
        <f t="shared" si="1"/>
        <v>0.60904456818643271</v>
      </c>
      <c r="AA12" s="3">
        <f t="shared" si="3"/>
        <v>19.529411764705884</v>
      </c>
      <c r="AB12">
        <f t="shared" si="2"/>
        <v>1</v>
      </c>
    </row>
    <row r="13" spans="1:28" x14ac:dyDescent="0.25">
      <c r="A13" s="7" t="s">
        <v>40</v>
      </c>
      <c r="B13" s="7" t="s">
        <v>73</v>
      </c>
      <c r="C13" s="10">
        <v>90.635459982288594</v>
      </c>
      <c r="D13" s="3">
        <v>95</v>
      </c>
      <c r="E13" s="14">
        <v>960</v>
      </c>
      <c r="F13" s="17">
        <v>6099.9441155814502</v>
      </c>
      <c r="G13" s="7" t="s">
        <v>42</v>
      </c>
      <c r="H13" s="14">
        <v>46</v>
      </c>
      <c r="I13" s="14">
        <v>23</v>
      </c>
      <c r="J13" s="14">
        <v>60</v>
      </c>
      <c r="K13" s="14">
        <v>1</v>
      </c>
      <c r="L13" s="7" t="s">
        <v>43</v>
      </c>
      <c r="M13" s="17">
        <v>4.5239431243166601</v>
      </c>
      <c r="N13" s="7" t="s">
        <v>62</v>
      </c>
      <c r="O13" s="7" t="s">
        <v>52</v>
      </c>
      <c r="P13" s="14">
        <v>28</v>
      </c>
      <c r="Q13" s="14">
        <v>362</v>
      </c>
      <c r="R13" s="14">
        <v>11</v>
      </c>
      <c r="S13" s="17">
        <v>27.5923630866636</v>
      </c>
      <c r="T13" s="7" t="s">
        <v>37</v>
      </c>
      <c r="U13" s="4">
        <v>2.1169821372994301E-2</v>
      </c>
      <c r="V13" s="7" t="s">
        <v>47</v>
      </c>
      <c r="W13" s="7" t="s">
        <v>55</v>
      </c>
      <c r="X13" s="17">
        <v>126.72303340940699</v>
      </c>
      <c r="Y13" s="17">
        <f t="shared" si="0"/>
        <v>5941.1047759610628</v>
      </c>
      <c r="Z13" s="23">
        <f t="shared" si="1"/>
        <v>0.97396052543913403</v>
      </c>
      <c r="AA13" s="3">
        <f t="shared" si="3"/>
        <v>20.869565217391305</v>
      </c>
      <c r="AB13">
        <f t="shared" si="2"/>
        <v>0</v>
      </c>
    </row>
    <row r="14" spans="1:28" x14ac:dyDescent="0.25">
      <c r="A14" s="7" t="s">
        <v>31</v>
      </c>
      <c r="B14" s="7" t="s">
        <v>74</v>
      </c>
      <c r="C14" s="10">
        <v>71.213389075359999</v>
      </c>
      <c r="D14" s="3">
        <v>41</v>
      </c>
      <c r="E14" s="14">
        <v>336</v>
      </c>
      <c r="F14" s="17">
        <v>2873.74144602144</v>
      </c>
      <c r="G14" s="7" t="s">
        <v>45</v>
      </c>
      <c r="H14" s="14">
        <v>100</v>
      </c>
      <c r="I14" s="14">
        <v>30</v>
      </c>
      <c r="J14" s="14">
        <v>85</v>
      </c>
      <c r="K14" s="14">
        <v>4</v>
      </c>
      <c r="L14" s="7" t="s">
        <v>43</v>
      </c>
      <c r="M14" s="17">
        <v>1.32527401018452</v>
      </c>
      <c r="N14" s="7" t="s">
        <v>59</v>
      </c>
      <c r="O14" s="7" t="s">
        <v>52</v>
      </c>
      <c r="P14" s="14">
        <v>3</v>
      </c>
      <c r="Q14" s="14">
        <v>563</v>
      </c>
      <c r="R14" s="14">
        <v>3</v>
      </c>
      <c r="S14" s="17">
        <v>32.321286213424003</v>
      </c>
      <c r="T14" s="7" t="s">
        <v>53</v>
      </c>
      <c r="U14" s="4">
        <v>2.1612537475559099</v>
      </c>
      <c r="V14" s="7" t="s">
        <v>38</v>
      </c>
      <c r="W14" s="7" t="s">
        <v>39</v>
      </c>
      <c r="X14" s="17">
        <v>402.96878907376998</v>
      </c>
      <c r="Y14" s="17">
        <f t="shared" si="0"/>
        <v>2437.1260967240614</v>
      </c>
      <c r="Z14" s="23">
        <f t="shared" si="1"/>
        <v>0.84806728180022872</v>
      </c>
      <c r="AA14" s="3">
        <f t="shared" si="3"/>
        <v>3.36</v>
      </c>
      <c r="AB14">
        <f t="shared" si="2"/>
        <v>0</v>
      </c>
    </row>
    <row r="15" spans="1:28" x14ac:dyDescent="0.25">
      <c r="A15" s="7" t="s">
        <v>40</v>
      </c>
      <c r="B15" s="7" t="s">
        <v>75</v>
      </c>
      <c r="C15" s="10">
        <v>16.160393317379899</v>
      </c>
      <c r="D15" s="3">
        <v>5</v>
      </c>
      <c r="E15" s="14">
        <v>249</v>
      </c>
      <c r="F15" s="17">
        <v>4052.7384162378598</v>
      </c>
      <c r="G15" s="7" t="s">
        <v>63</v>
      </c>
      <c r="H15" s="14">
        <v>80</v>
      </c>
      <c r="I15" s="14">
        <v>8</v>
      </c>
      <c r="J15" s="14">
        <v>48</v>
      </c>
      <c r="K15" s="14">
        <v>9</v>
      </c>
      <c r="L15" s="7" t="s">
        <v>43</v>
      </c>
      <c r="M15" s="17">
        <v>9.5372830611083295</v>
      </c>
      <c r="N15" s="7" t="s">
        <v>51</v>
      </c>
      <c r="O15" s="7" t="s">
        <v>60</v>
      </c>
      <c r="P15" s="14">
        <v>23</v>
      </c>
      <c r="Q15" s="14">
        <v>173</v>
      </c>
      <c r="R15" s="14">
        <v>10</v>
      </c>
      <c r="S15" s="17">
        <v>97.829050110173199</v>
      </c>
      <c r="T15" s="7" t="s">
        <v>37</v>
      </c>
      <c r="U15" s="4">
        <v>1.63107423007153</v>
      </c>
      <c r="V15" s="7" t="s">
        <v>38</v>
      </c>
      <c r="W15" s="7" t="s">
        <v>39</v>
      </c>
      <c r="X15" s="17">
        <v>547.24100516096803</v>
      </c>
      <c r="Y15" s="17">
        <f t="shared" si="0"/>
        <v>3398.1310779056103</v>
      </c>
      <c r="Z15" s="23">
        <f t="shared" si="1"/>
        <v>0.83847777203940077</v>
      </c>
      <c r="AA15" s="3">
        <f t="shared" si="3"/>
        <v>3.1124999999999998</v>
      </c>
      <c r="AB15">
        <f t="shared" si="2"/>
        <v>0</v>
      </c>
    </row>
    <row r="16" spans="1:28" x14ac:dyDescent="0.25">
      <c r="A16" s="7" t="s">
        <v>40</v>
      </c>
      <c r="B16" s="7" t="s">
        <v>76</v>
      </c>
      <c r="C16" s="10">
        <v>99.171328638624104</v>
      </c>
      <c r="D16" s="3">
        <v>26</v>
      </c>
      <c r="E16" s="14">
        <v>562</v>
      </c>
      <c r="F16" s="17">
        <v>8653.5709264697998</v>
      </c>
      <c r="G16" s="7" t="s">
        <v>33</v>
      </c>
      <c r="H16" s="14">
        <v>54</v>
      </c>
      <c r="I16" s="14">
        <v>29</v>
      </c>
      <c r="J16" s="14">
        <v>78</v>
      </c>
      <c r="K16" s="14">
        <v>5</v>
      </c>
      <c r="L16" s="7" t="s">
        <v>34</v>
      </c>
      <c r="M16" s="17">
        <v>2.0397701894493299</v>
      </c>
      <c r="N16" s="7" t="s">
        <v>46</v>
      </c>
      <c r="O16" s="7" t="s">
        <v>52</v>
      </c>
      <c r="P16" s="14">
        <v>25</v>
      </c>
      <c r="Q16" s="14">
        <v>558</v>
      </c>
      <c r="R16" s="14">
        <v>14</v>
      </c>
      <c r="S16" s="17">
        <v>5.7914366298629796</v>
      </c>
      <c r="T16" s="7" t="s">
        <v>37</v>
      </c>
      <c r="U16" s="4">
        <v>0.100682851565093</v>
      </c>
      <c r="V16" s="7" t="s">
        <v>47</v>
      </c>
      <c r="W16" s="7" t="s">
        <v>39</v>
      </c>
      <c r="X16" s="17">
        <v>929.23528996088896</v>
      </c>
      <c r="Y16" s="17">
        <f t="shared" si="0"/>
        <v>7716.5044296895994</v>
      </c>
      <c r="Z16" s="23">
        <f t="shared" si="1"/>
        <v>0.89171331641670915</v>
      </c>
      <c r="AA16" s="3">
        <f t="shared" si="3"/>
        <v>10.407407407407407</v>
      </c>
      <c r="AB16">
        <f t="shared" si="2"/>
        <v>0</v>
      </c>
    </row>
    <row r="17" spans="1:28" x14ac:dyDescent="0.25">
      <c r="A17" s="7" t="s">
        <v>40</v>
      </c>
      <c r="B17" s="7" t="s">
        <v>77</v>
      </c>
      <c r="C17" s="10">
        <v>36.989244928626903</v>
      </c>
      <c r="D17" s="3">
        <v>94</v>
      </c>
      <c r="E17" s="14">
        <v>469</v>
      </c>
      <c r="F17" s="17">
        <v>5442.0867853976697</v>
      </c>
      <c r="G17" s="7" t="s">
        <v>33</v>
      </c>
      <c r="H17" s="14">
        <v>9</v>
      </c>
      <c r="I17" s="14">
        <v>8</v>
      </c>
      <c r="J17" s="14">
        <v>69</v>
      </c>
      <c r="K17" s="14">
        <v>7</v>
      </c>
      <c r="L17" s="7" t="s">
        <v>34</v>
      </c>
      <c r="M17" s="17">
        <v>2.4220397232752</v>
      </c>
      <c r="N17" s="7" t="s">
        <v>46</v>
      </c>
      <c r="O17" s="7" t="s">
        <v>60</v>
      </c>
      <c r="P17" s="14">
        <v>14</v>
      </c>
      <c r="Q17" s="14">
        <v>580</v>
      </c>
      <c r="R17" s="14">
        <v>7</v>
      </c>
      <c r="S17" s="17">
        <v>97.121281751474299</v>
      </c>
      <c r="T17" s="7" t="s">
        <v>72</v>
      </c>
      <c r="U17" s="4">
        <v>2.2644057611985402</v>
      </c>
      <c r="V17" s="7" t="s">
        <v>65</v>
      </c>
      <c r="W17" s="7" t="s">
        <v>39</v>
      </c>
      <c r="X17" s="17">
        <v>127.861800001625</v>
      </c>
      <c r="Y17" s="17">
        <f t="shared" si="0"/>
        <v>5214.6816639212957</v>
      </c>
      <c r="Z17" s="23">
        <f t="shared" si="1"/>
        <v>0.9582136172310679</v>
      </c>
      <c r="AA17" s="3">
        <f t="shared" si="3"/>
        <v>52.111111111111114</v>
      </c>
      <c r="AB17">
        <f t="shared" si="2"/>
        <v>1</v>
      </c>
    </row>
    <row r="18" spans="1:28" x14ac:dyDescent="0.25">
      <c r="A18" s="7" t="s">
        <v>40</v>
      </c>
      <c r="B18" s="7" t="s">
        <v>78</v>
      </c>
      <c r="C18" s="10">
        <v>7.5471721097912701</v>
      </c>
      <c r="D18" s="3">
        <v>74</v>
      </c>
      <c r="E18" s="14">
        <v>280</v>
      </c>
      <c r="F18" s="17">
        <v>6453.7979681762799</v>
      </c>
      <c r="G18" s="7" t="s">
        <v>42</v>
      </c>
      <c r="H18" s="14">
        <v>2</v>
      </c>
      <c r="I18" s="14">
        <v>5</v>
      </c>
      <c r="J18" s="14">
        <v>78</v>
      </c>
      <c r="K18" s="14">
        <v>1</v>
      </c>
      <c r="L18" s="7" t="s">
        <v>34</v>
      </c>
      <c r="M18" s="17">
        <v>4.1913245857054999</v>
      </c>
      <c r="N18" s="7" t="s">
        <v>46</v>
      </c>
      <c r="O18" s="7" t="s">
        <v>60</v>
      </c>
      <c r="P18" s="14">
        <v>3</v>
      </c>
      <c r="Q18" s="14">
        <v>399</v>
      </c>
      <c r="R18" s="14">
        <v>21</v>
      </c>
      <c r="S18" s="17">
        <v>77.106342497849994</v>
      </c>
      <c r="T18" s="7" t="s">
        <v>72</v>
      </c>
      <c r="U18" s="4">
        <v>1.01256308925804</v>
      </c>
      <c r="V18" s="7" t="s">
        <v>47</v>
      </c>
      <c r="W18" s="7" t="s">
        <v>55</v>
      </c>
      <c r="X18" s="17">
        <v>865.52577977123997</v>
      </c>
      <c r="Y18" s="17">
        <f t="shared" si="0"/>
        <v>5506.9745213214837</v>
      </c>
      <c r="Z18" s="23">
        <f t="shared" si="1"/>
        <v>0.85329205352823423</v>
      </c>
      <c r="AA18" s="3">
        <f t="shared" si="3"/>
        <v>140</v>
      </c>
      <c r="AB18">
        <f t="shared" si="2"/>
        <v>1</v>
      </c>
    </row>
    <row r="19" spans="1:28" x14ac:dyDescent="0.25">
      <c r="A19" s="7" t="s">
        <v>66</v>
      </c>
      <c r="B19" s="7" t="s">
        <v>79</v>
      </c>
      <c r="C19" s="10">
        <v>81.462534369237005</v>
      </c>
      <c r="D19" s="3">
        <v>82</v>
      </c>
      <c r="E19" s="14">
        <v>126</v>
      </c>
      <c r="F19" s="17">
        <v>2629.39643484526</v>
      </c>
      <c r="G19" s="7" t="s">
        <v>42</v>
      </c>
      <c r="H19" s="14">
        <v>45</v>
      </c>
      <c r="I19" s="14">
        <v>17</v>
      </c>
      <c r="J19" s="14">
        <v>85</v>
      </c>
      <c r="K19" s="14">
        <v>9</v>
      </c>
      <c r="L19" s="7" t="s">
        <v>50</v>
      </c>
      <c r="M19" s="17">
        <v>3.5854189582323399</v>
      </c>
      <c r="N19" s="7" t="s">
        <v>46</v>
      </c>
      <c r="O19" s="7" t="s">
        <v>70</v>
      </c>
      <c r="P19" s="14">
        <v>7</v>
      </c>
      <c r="Q19" s="14">
        <v>453</v>
      </c>
      <c r="R19" s="14">
        <v>16</v>
      </c>
      <c r="S19" s="17">
        <v>47.679680368355299</v>
      </c>
      <c r="T19" s="7" t="s">
        <v>53</v>
      </c>
      <c r="U19" s="4">
        <v>0.102020754918176</v>
      </c>
      <c r="V19" s="7" t="s">
        <v>47</v>
      </c>
      <c r="W19" s="7" t="s">
        <v>48</v>
      </c>
      <c r="X19" s="17">
        <v>670.93439079241</v>
      </c>
      <c r="Y19" s="17">
        <f t="shared" si="0"/>
        <v>1907.1969447262625</v>
      </c>
      <c r="Z19" s="23">
        <f t="shared" si="1"/>
        <v>0.72533640019121004</v>
      </c>
      <c r="AA19" s="3">
        <f t="shared" si="3"/>
        <v>2.8</v>
      </c>
      <c r="AB19">
        <f t="shared" si="2"/>
        <v>0</v>
      </c>
    </row>
    <row r="20" spans="1:28" x14ac:dyDescent="0.25">
      <c r="A20" s="7" t="s">
        <v>31</v>
      </c>
      <c r="B20" s="7" t="s">
        <v>80</v>
      </c>
      <c r="C20" s="10">
        <v>36.4436277704609</v>
      </c>
      <c r="D20" s="3">
        <v>23</v>
      </c>
      <c r="E20" s="14">
        <v>620</v>
      </c>
      <c r="F20" s="17">
        <v>9364.6735050761708</v>
      </c>
      <c r="G20" s="7" t="s">
        <v>45</v>
      </c>
      <c r="H20" s="14">
        <v>10</v>
      </c>
      <c r="I20" s="14">
        <v>10</v>
      </c>
      <c r="J20" s="14">
        <v>46</v>
      </c>
      <c r="K20" s="14">
        <v>8</v>
      </c>
      <c r="L20" s="7" t="s">
        <v>50</v>
      </c>
      <c r="M20" s="17">
        <v>4.3392247141107001</v>
      </c>
      <c r="N20" s="7" t="s">
        <v>62</v>
      </c>
      <c r="O20" s="7" t="s">
        <v>52</v>
      </c>
      <c r="P20" s="14">
        <v>18</v>
      </c>
      <c r="Q20" s="14">
        <v>374</v>
      </c>
      <c r="R20" s="14">
        <v>17</v>
      </c>
      <c r="S20" s="17">
        <v>27.107980854843898</v>
      </c>
      <c r="T20" s="7" t="s">
        <v>37</v>
      </c>
      <c r="U20" s="4">
        <v>2.2319391107292601</v>
      </c>
      <c r="V20" s="7" t="s">
        <v>65</v>
      </c>
      <c r="W20" s="7" t="s">
        <v>55</v>
      </c>
      <c r="X20" s="17">
        <v>593.48025872065102</v>
      </c>
      <c r="Y20" s="17">
        <f t="shared" si="0"/>
        <v>8739.7460407865656</v>
      </c>
      <c r="Z20" s="23">
        <f t="shared" si="1"/>
        <v>0.93326756517983678</v>
      </c>
      <c r="AA20" s="3">
        <f t="shared" si="3"/>
        <v>62</v>
      </c>
      <c r="AB20">
        <f t="shared" si="2"/>
        <v>0</v>
      </c>
    </row>
    <row r="21" spans="1:28" x14ac:dyDescent="0.25">
      <c r="A21" s="7" t="s">
        <v>40</v>
      </c>
      <c r="B21" s="7" t="s">
        <v>81</v>
      </c>
      <c r="C21" s="10">
        <v>51.123870087964697</v>
      </c>
      <c r="D21" s="3">
        <v>100</v>
      </c>
      <c r="E21" s="14">
        <v>187</v>
      </c>
      <c r="F21" s="17">
        <v>2553.4955849912099</v>
      </c>
      <c r="G21" s="7" t="s">
        <v>45</v>
      </c>
      <c r="H21" s="14">
        <v>48</v>
      </c>
      <c r="I21" s="14">
        <v>11</v>
      </c>
      <c r="J21" s="14">
        <v>94</v>
      </c>
      <c r="K21" s="14">
        <v>3</v>
      </c>
      <c r="L21" s="7" t="s">
        <v>43</v>
      </c>
      <c r="M21" s="17">
        <v>4.7426358828418698</v>
      </c>
      <c r="N21" s="7" t="s">
        <v>59</v>
      </c>
      <c r="O21" s="7" t="s">
        <v>70</v>
      </c>
      <c r="P21" s="14">
        <v>20</v>
      </c>
      <c r="Q21" s="14">
        <v>694</v>
      </c>
      <c r="R21" s="14">
        <v>16</v>
      </c>
      <c r="S21" s="17">
        <v>82.373320587990193</v>
      </c>
      <c r="T21" s="7" t="s">
        <v>53</v>
      </c>
      <c r="U21" s="4">
        <v>3.64645086541702</v>
      </c>
      <c r="V21" s="7" t="s">
        <v>38</v>
      </c>
      <c r="W21" s="7" t="s">
        <v>48</v>
      </c>
      <c r="X21" s="17">
        <v>477.30763109090299</v>
      </c>
      <c r="Y21" s="17">
        <f t="shared" si="0"/>
        <v>1989.0719974294748</v>
      </c>
      <c r="Z21" s="23">
        <f t="shared" si="1"/>
        <v>0.77896042159646883</v>
      </c>
      <c r="AA21" s="3">
        <f t="shared" si="3"/>
        <v>3.8958333333333335</v>
      </c>
      <c r="AB21">
        <f t="shared" si="2"/>
        <v>0</v>
      </c>
    </row>
    <row r="22" spans="1:28" x14ac:dyDescent="0.25">
      <c r="A22" s="7" t="s">
        <v>40</v>
      </c>
      <c r="B22" s="7" t="s">
        <v>82</v>
      </c>
      <c r="C22" s="10">
        <v>96.341072439963298</v>
      </c>
      <c r="D22" s="3">
        <v>22</v>
      </c>
      <c r="E22" s="14">
        <v>320</v>
      </c>
      <c r="F22" s="17">
        <v>8128.0276968511898</v>
      </c>
      <c r="G22" s="7" t="s">
        <v>45</v>
      </c>
      <c r="H22" s="14">
        <v>27</v>
      </c>
      <c r="I22" s="14">
        <v>12</v>
      </c>
      <c r="J22" s="14">
        <v>68</v>
      </c>
      <c r="K22" s="14">
        <v>6</v>
      </c>
      <c r="L22" s="7" t="s">
        <v>43</v>
      </c>
      <c r="M22" s="17">
        <v>8.8783346509268402</v>
      </c>
      <c r="N22" s="7" t="s">
        <v>46</v>
      </c>
      <c r="O22" s="7" t="s">
        <v>70</v>
      </c>
      <c r="P22" s="14">
        <v>29</v>
      </c>
      <c r="Q22" s="14">
        <v>309</v>
      </c>
      <c r="R22" s="14">
        <v>6</v>
      </c>
      <c r="S22" s="17">
        <v>65.686259608488598</v>
      </c>
      <c r="T22" s="7" t="s">
        <v>72</v>
      </c>
      <c r="U22" s="4">
        <v>4.2314165735345304</v>
      </c>
      <c r="V22" s="7" t="s">
        <v>47</v>
      </c>
      <c r="W22" s="7" t="s">
        <v>39</v>
      </c>
      <c r="X22" s="17">
        <v>493.871215316205</v>
      </c>
      <c r="Y22" s="17">
        <f t="shared" si="0"/>
        <v>7559.5918872755692</v>
      </c>
      <c r="Z22" s="23">
        <f t="shared" si="1"/>
        <v>0.93006473024251213</v>
      </c>
      <c r="AA22" s="3">
        <f t="shared" si="3"/>
        <v>11.851851851851851</v>
      </c>
      <c r="AB22">
        <f t="shared" si="2"/>
        <v>1</v>
      </c>
    </row>
    <row r="23" spans="1:28" x14ac:dyDescent="0.25">
      <c r="A23" s="7" t="s">
        <v>66</v>
      </c>
      <c r="B23" s="7" t="s">
        <v>83</v>
      </c>
      <c r="C23" s="10">
        <v>84.893868984950799</v>
      </c>
      <c r="D23" s="3">
        <v>60</v>
      </c>
      <c r="E23" s="14">
        <v>601</v>
      </c>
      <c r="F23" s="17">
        <v>7087.0526963574302</v>
      </c>
      <c r="G23" s="7" t="s">
        <v>45</v>
      </c>
      <c r="H23" s="14">
        <v>69</v>
      </c>
      <c r="I23" s="14">
        <v>25</v>
      </c>
      <c r="J23" s="14">
        <v>7</v>
      </c>
      <c r="K23" s="14">
        <v>6</v>
      </c>
      <c r="L23" s="7" t="s">
        <v>34</v>
      </c>
      <c r="M23" s="17">
        <v>6.0378837692182898</v>
      </c>
      <c r="N23" s="7" t="s">
        <v>51</v>
      </c>
      <c r="O23" s="7" t="s">
        <v>70</v>
      </c>
      <c r="P23" s="14">
        <v>19</v>
      </c>
      <c r="Q23" s="14">
        <v>791</v>
      </c>
      <c r="R23" s="14">
        <v>4</v>
      </c>
      <c r="S23" s="17">
        <v>61.735728954160898</v>
      </c>
      <c r="T23" s="7" t="s">
        <v>37</v>
      </c>
      <c r="U23" s="4">
        <v>1.8607567631014899E-2</v>
      </c>
      <c r="V23" s="7" t="s">
        <v>47</v>
      </c>
      <c r="W23" s="7" t="s">
        <v>48</v>
      </c>
      <c r="X23" s="17">
        <v>523.36091472015801</v>
      </c>
      <c r="Y23" s="17">
        <f t="shared" si="0"/>
        <v>6495.9181689138941</v>
      </c>
      <c r="Z23" s="23">
        <f t="shared" si="1"/>
        <v>0.91658951149786638</v>
      </c>
      <c r="AA23" s="3">
        <f t="shared" si="3"/>
        <v>8.7101449275362324</v>
      </c>
      <c r="AB23">
        <f t="shared" si="2"/>
        <v>0</v>
      </c>
    </row>
    <row r="24" spans="1:28" x14ac:dyDescent="0.25">
      <c r="A24" s="7" t="s">
        <v>31</v>
      </c>
      <c r="B24" s="7" t="s">
        <v>84</v>
      </c>
      <c r="C24" s="10">
        <v>27.679780886501899</v>
      </c>
      <c r="D24" s="3">
        <v>55</v>
      </c>
      <c r="E24" s="14">
        <v>884</v>
      </c>
      <c r="F24" s="17">
        <v>2390.8078665561702</v>
      </c>
      <c r="G24" s="7" t="s">
        <v>45</v>
      </c>
      <c r="H24" s="14">
        <v>71</v>
      </c>
      <c r="I24" s="14">
        <v>1</v>
      </c>
      <c r="J24" s="14">
        <v>63</v>
      </c>
      <c r="K24" s="14">
        <v>10</v>
      </c>
      <c r="L24" s="7" t="s">
        <v>43</v>
      </c>
      <c r="M24" s="17">
        <v>9.5676489209230393</v>
      </c>
      <c r="N24" s="7" t="s">
        <v>59</v>
      </c>
      <c r="O24" s="7" t="s">
        <v>52</v>
      </c>
      <c r="P24" s="14">
        <v>22</v>
      </c>
      <c r="Q24" s="14">
        <v>780</v>
      </c>
      <c r="R24" s="14">
        <v>28</v>
      </c>
      <c r="S24" s="17">
        <v>50.120839612977299</v>
      </c>
      <c r="T24" s="7" t="s">
        <v>53</v>
      </c>
      <c r="U24" s="4">
        <v>2.5912754732111098</v>
      </c>
      <c r="V24" s="7" t="s">
        <v>54</v>
      </c>
      <c r="W24" s="7" t="s">
        <v>48</v>
      </c>
      <c r="X24" s="17">
        <v>205.57199582694699</v>
      </c>
      <c r="Y24" s="17">
        <f t="shared" si="0"/>
        <v>2125.5473821953228</v>
      </c>
      <c r="Z24" s="23">
        <f t="shared" si="1"/>
        <v>0.88904985295077654</v>
      </c>
      <c r="AA24" s="3">
        <f t="shared" si="3"/>
        <v>12.450704225352112</v>
      </c>
      <c r="AB24">
        <f t="shared" si="2"/>
        <v>0</v>
      </c>
    </row>
    <row r="25" spans="1:28" x14ac:dyDescent="0.25">
      <c r="A25" s="7" t="s">
        <v>66</v>
      </c>
      <c r="B25" s="7" t="s">
        <v>85</v>
      </c>
      <c r="C25" s="10">
        <v>4.3243411858641601</v>
      </c>
      <c r="D25" s="3">
        <v>30</v>
      </c>
      <c r="E25" s="14">
        <v>391</v>
      </c>
      <c r="F25" s="17">
        <v>8858.3675710114803</v>
      </c>
      <c r="G25" s="7" t="s">
        <v>45</v>
      </c>
      <c r="H25" s="14">
        <v>84</v>
      </c>
      <c r="I25" s="14">
        <v>5</v>
      </c>
      <c r="J25" s="14">
        <v>29</v>
      </c>
      <c r="K25" s="14">
        <v>7</v>
      </c>
      <c r="L25" s="7" t="s">
        <v>43</v>
      </c>
      <c r="M25" s="17">
        <v>2.92485760114555</v>
      </c>
      <c r="N25" s="7" t="s">
        <v>51</v>
      </c>
      <c r="O25" s="7" t="s">
        <v>52</v>
      </c>
      <c r="P25" s="14">
        <v>11</v>
      </c>
      <c r="Q25" s="14">
        <v>568</v>
      </c>
      <c r="R25" s="14">
        <v>29</v>
      </c>
      <c r="S25" s="17">
        <v>98.6099572427038</v>
      </c>
      <c r="T25" s="7" t="s">
        <v>37</v>
      </c>
      <c r="U25" s="4">
        <v>1.3422915627227301</v>
      </c>
      <c r="V25" s="7" t="s">
        <v>54</v>
      </c>
      <c r="W25" s="7" t="s">
        <v>55</v>
      </c>
      <c r="X25" s="17">
        <v>196.329446112412</v>
      </c>
      <c r="Y25" s="17">
        <f t="shared" si="0"/>
        <v>8560.5033100552191</v>
      </c>
      <c r="Z25" s="23">
        <f t="shared" si="1"/>
        <v>0.96637481357953514</v>
      </c>
      <c r="AA25" s="3">
        <f t="shared" si="3"/>
        <v>4.6547619047619051</v>
      </c>
      <c r="AB25">
        <f t="shared" si="2"/>
        <v>0</v>
      </c>
    </row>
    <row r="26" spans="1:28" x14ac:dyDescent="0.25">
      <c r="A26" s="7" t="s">
        <v>31</v>
      </c>
      <c r="B26" s="7" t="s">
        <v>86</v>
      </c>
      <c r="C26" s="10">
        <v>4.1563083593111001</v>
      </c>
      <c r="D26" s="3">
        <v>32</v>
      </c>
      <c r="E26" s="14">
        <v>209</v>
      </c>
      <c r="F26" s="17">
        <v>9049.0778609398894</v>
      </c>
      <c r="G26" s="7" t="s">
        <v>63</v>
      </c>
      <c r="H26" s="14">
        <v>4</v>
      </c>
      <c r="I26" s="14">
        <v>26</v>
      </c>
      <c r="J26" s="14">
        <v>2</v>
      </c>
      <c r="K26" s="14">
        <v>8</v>
      </c>
      <c r="L26" s="7" t="s">
        <v>50</v>
      </c>
      <c r="M26" s="17">
        <v>9.7412916892843597</v>
      </c>
      <c r="N26" s="7" t="s">
        <v>62</v>
      </c>
      <c r="O26" s="7" t="s">
        <v>60</v>
      </c>
      <c r="P26" s="14">
        <v>28</v>
      </c>
      <c r="Q26" s="14">
        <v>447</v>
      </c>
      <c r="R26" s="14">
        <v>3</v>
      </c>
      <c r="S26" s="17">
        <v>40.382359702924802</v>
      </c>
      <c r="T26" s="7" t="s">
        <v>37</v>
      </c>
      <c r="U26" s="4">
        <v>3.69131029262872</v>
      </c>
      <c r="V26" s="7" t="s">
        <v>47</v>
      </c>
      <c r="W26" s="7" t="s">
        <v>55</v>
      </c>
      <c r="X26" s="17">
        <v>758.72477260293795</v>
      </c>
      <c r="Y26" s="17">
        <f t="shared" si="0"/>
        <v>8240.2294369447427</v>
      </c>
      <c r="Z26" s="23">
        <f t="shared" si="1"/>
        <v>0.91061537579574603</v>
      </c>
      <c r="AA26" s="3">
        <f t="shared" si="3"/>
        <v>52.25</v>
      </c>
      <c r="AB26">
        <f t="shared" si="2"/>
        <v>0</v>
      </c>
    </row>
    <row r="27" spans="1:28" x14ac:dyDescent="0.25">
      <c r="A27" s="7" t="s">
        <v>31</v>
      </c>
      <c r="B27" s="7" t="s">
        <v>87</v>
      </c>
      <c r="C27" s="10">
        <v>39.629343985092603</v>
      </c>
      <c r="D27" s="3">
        <v>73</v>
      </c>
      <c r="E27" s="14">
        <v>142</v>
      </c>
      <c r="F27" s="17">
        <v>2174.7770543506499</v>
      </c>
      <c r="G27" s="7" t="s">
        <v>63</v>
      </c>
      <c r="H27" s="14">
        <v>82</v>
      </c>
      <c r="I27" s="14">
        <v>11</v>
      </c>
      <c r="J27" s="14">
        <v>52</v>
      </c>
      <c r="K27" s="14">
        <v>3</v>
      </c>
      <c r="L27" s="7" t="s">
        <v>50</v>
      </c>
      <c r="M27" s="17">
        <v>2.2310736812817198</v>
      </c>
      <c r="N27" s="7" t="s">
        <v>59</v>
      </c>
      <c r="O27" s="7" t="s">
        <v>52</v>
      </c>
      <c r="P27" s="14">
        <v>19</v>
      </c>
      <c r="Q27" s="14">
        <v>934</v>
      </c>
      <c r="R27" s="14">
        <v>23</v>
      </c>
      <c r="S27" s="17">
        <v>78.280383118415301</v>
      </c>
      <c r="T27" s="7" t="s">
        <v>37</v>
      </c>
      <c r="U27" s="4">
        <v>3.79723121711418</v>
      </c>
      <c r="V27" s="7" t="s">
        <v>38</v>
      </c>
      <c r="W27" s="7" t="s">
        <v>39</v>
      </c>
      <c r="X27" s="17">
        <v>458.53594573920901</v>
      </c>
      <c r="Y27" s="17">
        <f t="shared" si="0"/>
        <v>1635.7296518117437</v>
      </c>
      <c r="Z27" s="23">
        <f t="shared" si="1"/>
        <v>0.7521367068589675</v>
      </c>
      <c r="AA27" s="3">
        <f t="shared" si="3"/>
        <v>1.7317073170731707</v>
      </c>
      <c r="AB27">
        <f t="shared" si="2"/>
        <v>0</v>
      </c>
    </row>
    <row r="28" spans="1:28" x14ac:dyDescent="0.25">
      <c r="A28" s="7" t="s">
        <v>31</v>
      </c>
      <c r="B28" s="7" t="s">
        <v>88</v>
      </c>
      <c r="C28" s="10">
        <v>97.446946617892806</v>
      </c>
      <c r="D28" s="3">
        <v>9</v>
      </c>
      <c r="E28" s="14">
        <v>353</v>
      </c>
      <c r="F28" s="17">
        <v>3716.49332589403</v>
      </c>
      <c r="G28" s="7" t="s">
        <v>63</v>
      </c>
      <c r="H28" s="14">
        <v>59</v>
      </c>
      <c r="I28" s="14">
        <v>16</v>
      </c>
      <c r="J28" s="14">
        <v>48</v>
      </c>
      <c r="K28" s="14">
        <v>4</v>
      </c>
      <c r="L28" s="7" t="s">
        <v>34</v>
      </c>
      <c r="M28" s="17">
        <v>6.5075486210785503</v>
      </c>
      <c r="N28" s="7" t="s">
        <v>62</v>
      </c>
      <c r="O28" s="7" t="s">
        <v>60</v>
      </c>
      <c r="P28" s="14">
        <v>26</v>
      </c>
      <c r="Q28" s="14">
        <v>171</v>
      </c>
      <c r="R28" s="14">
        <v>4</v>
      </c>
      <c r="S28" s="17">
        <v>15.972229757181699</v>
      </c>
      <c r="T28" s="7" t="s">
        <v>72</v>
      </c>
      <c r="U28" s="4">
        <v>2.1193197367249201</v>
      </c>
      <c r="V28" s="7" t="s">
        <v>54</v>
      </c>
      <c r="W28" s="7" t="s">
        <v>55</v>
      </c>
      <c r="X28" s="17">
        <v>617.86691645837698</v>
      </c>
      <c r="Y28" s="17">
        <f t="shared" si="0"/>
        <v>3076.1466310573928</v>
      </c>
      <c r="Z28" s="23">
        <f t="shared" si="1"/>
        <v>0.8277013736644887</v>
      </c>
      <c r="AA28" s="3">
        <f t="shared" si="3"/>
        <v>5.9830508474576272</v>
      </c>
      <c r="AB28">
        <f t="shared" si="2"/>
        <v>1</v>
      </c>
    </row>
    <row r="29" spans="1:28" x14ac:dyDescent="0.25">
      <c r="A29" s="7" t="s">
        <v>66</v>
      </c>
      <c r="B29" s="7" t="s">
        <v>89</v>
      </c>
      <c r="C29" s="10">
        <v>92.557360812401996</v>
      </c>
      <c r="D29" s="3">
        <v>42</v>
      </c>
      <c r="E29" s="14">
        <v>352</v>
      </c>
      <c r="F29" s="17">
        <v>2686.4572235759802</v>
      </c>
      <c r="G29" s="7" t="s">
        <v>45</v>
      </c>
      <c r="H29" s="14">
        <v>47</v>
      </c>
      <c r="I29" s="14">
        <v>9</v>
      </c>
      <c r="J29" s="14">
        <v>62</v>
      </c>
      <c r="K29" s="14">
        <v>8</v>
      </c>
      <c r="L29" s="7" t="s">
        <v>50</v>
      </c>
      <c r="M29" s="17">
        <v>7.4067509529980704</v>
      </c>
      <c r="N29" s="7" t="s">
        <v>51</v>
      </c>
      <c r="O29" s="7" t="s">
        <v>36</v>
      </c>
      <c r="P29" s="14">
        <v>25</v>
      </c>
      <c r="Q29" s="14">
        <v>291</v>
      </c>
      <c r="R29" s="14">
        <v>4</v>
      </c>
      <c r="S29" s="17">
        <v>10.5282450700421</v>
      </c>
      <c r="T29" s="7" t="s">
        <v>53</v>
      </c>
      <c r="U29" s="4">
        <v>2.8646678378833701</v>
      </c>
      <c r="V29" s="7" t="s">
        <v>65</v>
      </c>
      <c r="W29" s="7" t="s">
        <v>39</v>
      </c>
      <c r="X29" s="17">
        <v>762.45918215568304</v>
      </c>
      <c r="Y29" s="17">
        <f t="shared" si="0"/>
        <v>1906.0630453972567</v>
      </c>
      <c r="Z29" s="23">
        <f t="shared" si="1"/>
        <v>0.70950805718025545</v>
      </c>
      <c r="AA29" s="3">
        <f t="shared" si="3"/>
        <v>7.4893617021276597</v>
      </c>
      <c r="AB29">
        <f t="shared" si="2"/>
        <v>0</v>
      </c>
    </row>
    <row r="30" spans="1:28" x14ac:dyDescent="0.25">
      <c r="A30" s="7" t="s">
        <v>66</v>
      </c>
      <c r="B30" s="7" t="s">
        <v>90</v>
      </c>
      <c r="C30" s="10">
        <v>2.3972747055971402</v>
      </c>
      <c r="D30" s="3">
        <v>12</v>
      </c>
      <c r="E30" s="14">
        <v>394</v>
      </c>
      <c r="F30" s="17">
        <v>6117.3246150839896</v>
      </c>
      <c r="G30" s="7" t="s">
        <v>42</v>
      </c>
      <c r="H30" s="14">
        <v>48</v>
      </c>
      <c r="I30" s="14">
        <v>15</v>
      </c>
      <c r="J30" s="14">
        <v>24</v>
      </c>
      <c r="K30" s="14">
        <v>4</v>
      </c>
      <c r="L30" s="7" t="s">
        <v>34</v>
      </c>
      <c r="M30" s="17">
        <v>9.8981405080692202</v>
      </c>
      <c r="N30" s="7" t="s">
        <v>46</v>
      </c>
      <c r="O30" s="7" t="s">
        <v>36</v>
      </c>
      <c r="P30" s="14">
        <v>13</v>
      </c>
      <c r="Q30" s="14">
        <v>171</v>
      </c>
      <c r="R30" s="14">
        <v>7</v>
      </c>
      <c r="S30" s="17">
        <v>59.429381810691503</v>
      </c>
      <c r="T30" s="7" t="s">
        <v>53</v>
      </c>
      <c r="U30" s="4">
        <v>0.81575707929567198</v>
      </c>
      <c r="V30" s="7" t="s">
        <v>47</v>
      </c>
      <c r="W30" s="7" t="s">
        <v>55</v>
      </c>
      <c r="X30" s="17">
        <v>123.437027511827</v>
      </c>
      <c r="Y30" s="17">
        <f t="shared" si="0"/>
        <v>5924.5600652534013</v>
      </c>
      <c r="Z30" s="23">
        <f t="shared" si="1"/>
        <v>0.96848874925563488</v>
      </c>
      <c r="AA30" s="3">
        <f t="shared" si="3"/>
        <v>8.2083333333333339</v>
      </c>
      <c r="AB30">
        <f t="shared" si="2"/>
        <v>0</v>
      </c>
    </row>
    <row r="31" spans="1:28" x14ac:dyDescent="0.25">
      <c r="A31" s="7" t="s">
        <v>66</v>
      </c>
      <c r="B31" s="7" t="s">
        <v>91</v>
      </c>
      <c r="C31" s="10">
        <v>63.447559185207297</v>
      </c>
      <c r="D31" s="3">
        <v>3</v>
      </c>
      <c r="E31" s="14">
        <v>253</v>
      </c>
      <c r="F31" s="17">
        <v>8318.9031946171708</v>
      </c>
      <c r="G31" s="7" t="s">
        <v>42</v>
      </c>
      <c r="H31" s="14">
        <v>45</v>
      </c>
      <c r="I31" s="14">
        <v>5</v>
      </c>
      <c r="J31" s="14">
        <v>67</v>
      </c>
      <c r="K31" s="14">
        <v>7</v>
      </c>
      <c r="L31" s="7" t="s">
        <v>34</v>
      </c>
      <c r="M31" s="17">
        <v>8.1009731453970293</v>
      </c>
      <c r="N31" s="7" t="s">
        <v>46</v>
      </c>
      <c r="O31" s="7" t="s">
        <v>52</v>
      </c>
      <c r="P31" s="14">
        <v>16</v>
      </c>
      <c r="Q31" s="14">
        <v>329</v>
      </c>
      <c r="R31" s="14">
        <v>7</v>
      </c>
      <c r="S31" s="17">
        <v>39.292875586065698</v>
      </c>
      <c r="T31" s="7" t="s">
        <v>72</v>
      </c>
      <c r="U31" s="4">
        <v>3.8780989365884802</v>
      </c>
      <c r="V31" s="7" t="s">
        <v>38</v>
      </c>
      <c r="W31" s="7" t="s">
        <v>39</v>
      </c>
      <c r="X31" s="17">
        <v>764.93537594070801</v>
      </c>
      <c r="Y31" s="17">
        <f t="shared" si="0"/>
        <v>7506.5739699449996</v>
      </c>
      <c r="Z31" s="23">
        <f t="shared" si="1"/>
        <v>0.90235140310350082</v>
      </c>
      <c r="AA31" s="3">
        <f t="shared" si="3"/>
        <v>5.6222222222222218</v>
      </c>
      <c r="AB31">
        <f t="shared" si="2"/>
        <v>1</v>
      </c>
    </row>
    <row r="32" spans="1:28" x14ac:dyDescent="0.25">
      <c r="A32" s="7" t="s">
        <v>31</v>
      </c>
      <c r="B32" s="7" t="s">
        <v>92</v>
      </c>
      <c r="C32" s="10">
        <v>8.0228592105263896</v>
      </c>
      <c r="D32" s="3">
        <v>10</v>
      </c>
      <c r="E32" s="14">
        <v>327</v>
      </c>
      <c r="F32" s="17">
        <v>2766.3423668660798</v>
      </c>
      <c r="G32" s="7" t="s">
        <v>63</v>
      </c>
      <c r="H32" s="14">
        <v>60</v>
      </c>
      <c r="I32" s="14">
        <v>26</v>
      </c>
      <c r="J32" s="14">
        <v>35</v>
      </c>
      <c r="K32" s="14">
        <v>7</v>
      </c>
      <c r="L32" s="7" t="s">
        <v>34</v>
      </c>
      <c r="M32" s="17">
        <v>8.9545283153180097</v>
      </c>
      <c r="N32" s="7" t="s">
        <v>59</v>
      </c>
      <c r="O32" s="7" t="s">
        <v>52</v>
      </c>
      <c r="P32" s="14">
        <v>27</v>
      </c>
      <c r="Q32" s="14">
        <v>806</v>
      </c>
      <c r="R32" s="14">
        <v>30</v>
      </c>
      <c r="S32" s="17">
        <v>51.634893400109299</v>
      </c>
      <c r="T32" s="7" t="s">
        <v>37</v>
      </c>
      <c r="U32" s="4">
        <v>0.96539470535239302</v>
      </c>
      <c r="V32" s="7" t="s">
        <v>38</v>
      </c>
      <c r="W32" s="7" t="s">
        <v>48</v>
      </c>
      <c r="X32" s="17">
        <v>880.08098824716103</v>
      </c>
      <c r="Y32" s="17">
        <f t="shared" si="0"/>
        <v>1825.6719569034915</v>
      </c>
      <c r="Z32" s="23">
        <f t="shared" si="1"/>
        <v>0.65995878846035594</v>
      </c>
      <c r="AA32" s="3">
        <f t="shared" si="3"/>
        <v>5.45</v>
      </c>
      <c r="AB32">
        <f t="shared" si="2"/>
        <v>0</v>
      </c>
    </row>
    <row r="33" spans="1:28" x14ac:dyDescent="0.25">
      <c r="A33" s="7" t="s">
        <v>40</v>
      </c>
      <c r="B33" s="7" t="s">
        <v>93</v>
      </c>
      <c r="C33" s="10">
        <v>50.847393051718697</v>
      </c>
      <c r="D33" s="3">
        <v>28</v>
      </c>
      <c r="E33" s="14">
        <v>168</v>
      </c>
      <c r="F33" s="17">
        <v>9655.1351027193905</v>
      </c>
      <c r="G33" s="7" t="s">
        <v>63</v>
      </c>
      <c r="H33" s="14">
        <v>6</v>
      </c>
      <c r="I33" s="14">
        <v>17</v>
      </c>
      <c r="J33" s="14">
        <v>44</v>
      </c>
      <c r="K33" s="14">
        <v>4</v>
      </c>
      <c r="L33" s="7" t="s">
        <v>34</v>
      </c>
      <c r="M33" s="17">
        <v>2.6796609649813998</v>
      </c>
      <c r="N33" s="7" t="s">
        <v>35</v>
      </c>
      <c r="O33" s="7" t="s">
        <v>70</v>
      </c>
      <c r="P33" s="14">
        <v>24</v>
      </c>
      <c r="Q33" s="14">
        <v>461</v>
      </c>
      <c r="R33" s="14">
        <v>8</v>
      </c>
      <c r="S33" s="17">
        <v>60.251145661598002</v>
      </c>
      <c r="T33" s="7" t="s">
        <v>37</v>
      </c>
      <c r="U33" s="4">
        <v>2.9890000066550702</v>
      </c>
      <c r="V33" s="7" t="s">
        <v>54</v>
      </c>
      <c r="W33" s="7" t="s">
        <v>48</v>
      </c>
      <c r="X33" s="17">
        <v>609.379206618426</v>
      </c>
      <c r="Y33" s="17">
        <f t="shared" si="0"/>
        <v>8982.8250894743869</v>
      </c>
      <c r="Z33" s="23">
        <f t="shared" si="1"/>
        <v>0.93036762240068027</v>
      </c>
      <c r="AA33" s="3">
        <f t="shared" si="3"/>
        <v>28</v>
      </c>
      <c r="AB33">
        <f t="shared" si="2"/>
        <v>0</v>
      </c>
    </row>
    <row r="34" spans="1:28" x14ac:dyDescent="0.25">
      <c r="A34" s="7" t="s">
        <v>40</v>
      </c>
      <c r="B34" s="7" t="s">
        <v>94</v>
      </c>
      <c r="C34" s="10">
        <v>79.209936015656695</v>
      </c>
      <c r="D34" s="3">
        <v>43</v>
      </c>
      <c r="E34" s="14">
        <v>781</v>
      </c>
      <c r="F34" s="17">
        <v>9571.5504873278096</v>
      </c>
      <c r="G34" s="7" t="s">
        <v>45</v>
      </c>
      <c r="H34" s="14">
        <v>89</v>
      </c>
      <c r="I34" s="14">
        <v>13</v>
      </c>
      <c r="J34" s="14">
        <v>64</v>
      </c>
      <c r="K34" s="14">
        <v>4</v>
      </c>
      <c r="L34" s="7" t="s">
        <v>50</v>
      </c>
      <c r="M34" s="17">
        <v>6.5991049012385803</v>
      </c>
      <c r="N34" s="7" t="s">
        <v>35</v>
      </c>
      <c r="O34" s="7" t="s">
        <v>52</v>
      </c>
      <c r="P34" s="14">
        <v>30</v>
      </c>
      <c r="Q34" s="14">
        <v>737</v>
      </c>
      <c r="R34" s="14">
        <v>7</v>
      </c>
      <c r="S34" s="17">
        <v>29.6924671537497</v>
      </c>
      <c r="T34" s="7" t="s">
        <v>72</v>
      </c>
      <c r="U34" s="4">
        <v>1.94603611938611</v>
      </c>
      <c r="V34" s="7" t="s">
        <v>38</v>
      </c>
      <c r="W34" s="7" t="s">
        <v>55</v>
      </c>
      <c r="X34" s="17">
        <v>761.17390951487698</v>
      </c>
      <c r="Y34" s="17">
        <f t="shared" si="0"/>
        <v>8774.0850057579446</v>
      </c>
      <c r="Z34" s="23">
        <f t="shared" si="1"/>
        <v>0.91668377211971408</v>
      </c>
      <c r="AA34" s="3">
        <f t="shared" si="3"/>
        <v>8.7752808988764048</v>
      </c>
      <c r="AB34">
        <f t="shared" si="2"/>
        <v>1</v>
      </c>
    </row>
    <row r="35" spans="1:28" x14ac:dyDescent="0.25">
      <c r="A35" s="7" t="s">
        <v>66</v>
      </c>
      <c r="B35" s="7" t="s">
        <v>95</v>
      </c>
      <c r="C35" s="10">
        <v>64.795435000155607</v>
      </c>
      <c r="D35" s="3">
        <v>63</v>
      </c>
      <c r="E35" s="14">
        <v>616</v>
      </c>
      <c r="F35" s="17">
        <v>5149.9983504080301</v>
      </c>
      <c r="G35" s="7" t="s">
        <v>33</v>
      </c>
      <c r="H35" s="14">
        <v>4</v>
      </c>
      <c r="I35" s="14">
        <v>17</v>
      </c>
      <c r="J35" s="14">
        <v>95</v>
      </c>
      <c r="K35" s="14">
        <v>9</v>
      </c>
      <c r="L35" s="7" t="s">
        <v>50</v>
      </c>
      <c r="M35" s="17">
        <v>4.85827050343664</v>
      </c>
      <c r="N35" s="7" t="s">
        <v>51</v>
      </c>
      <c r="O35" s="7" t="s">
        <v>70</v>
      </c>
      <c r="P35" s="14">
        <v>1</v>
      </c>
      <c r="Q35" s="14">
        <v>251</v>
      </c>
      <c r="R35" s="14">
        <v>23</v>
      </c>
      <c r="S35" s="17">
        <v>23.853427512896101</v>
      </c>
      <c r="T35" s="7" t="s">
        <v>53</v>
      </c>
      <c r="U35" s="4">
        <v>3.54104601225092</v>
      </c>
      <c r="V35" s="7" t="s">
        <v>65</v>
      </c>
      <c r="W35" s="7" t="s">
        <v>55</v>
      </c>
      <c r="X35" s="17">
        <v>371.25529551987103</v>
      </c>
      <c r="Y35" s="17">
        <f t="shared" si="0"/>
        <v>4750.0313568718266</v>
      </c>
      <c r="Z35" s="23">
        <f t="shared" si="1"/>
        <v>0.92233648123314171</v>
      </c>
      <c r="AA35" s="3">
        <f t="shared" si="3"/>
        <v>154</v>
      </c>
      <c r="AB35">
        <f t="shared" si="2"/>
        <v>0</v>
      </c>
    </row>
    <row r="36" spans="1:28" x14ac:dyDescent="0.25">
      <c r="A36" s="7" t="s">
        <v>40</v>
      </c>
      <c r="B36" s="7" t="s">
        <v>96</v>
      </c>
      <c r="C36" s="10">
        <v>37.467592329842397</v>
      </c>
      <c r="D36" s="3">
        <v>96</v>
      </c>
      <c r="E36" s="14">
        <v>602</v>
      </c>
      <c r="F36" s="17">
        <v>9061.7108955077201</v>
      </c>
      <c r="G36" s="7" t="s">
        <v>45</v>
      </c>
      <c r="H36" s="14">
        <v>1</v>
      </c>
      <c r="I36" s="14">
        <v>26</v>
      </c>
      <c r="J36" s="14">
        <v>21</v>
      </c>
      <c r="K36" s="14">
        <v>7</v>
      </c>
      <c r="L36" s="7" t="s">
        <v>43</v>
      </c>
      <c r="M36" s="17">
        <v>1.0194875708221101</v>
      </c>
      <c r="N36" s="7" t="s">
        <v>46</v>
      </c>
      <c r="O36" s="7" t="s">
        <v>70</v>
      </c>
      <c r="P36" s="14">
        <v>4</v>
      </c>
      <c r="Q36" s="14">
        <v>452</v>
      </c>
      <c r="R36" s="14">
        <v>10</v>
      </c>
      <c r="S36" s="17">
        <v>10.754272815029299</v>
      </c>
      <c r="T36" s="7" t="s">
        <v>72</v>
      </c>
      <c r="U36" s="4">
        <v>0.64660455937205397</v>
      </c>
      <c r="V36" s="7" t="s">
        <v>38</v>
      </c>
      <c r="W36" s="7" t="s">
        <v>39</v>
      </c>
      <c r="X36" s="17">
        <v>510.35800043352299</v>
      </c>
      <c r="Y36" s="17">
        <f t="shared" si="0"/>
        <v>8539.5791346883452</v>
      </c>
      <c r="Z36" s="23">
        <f t="shared" si="1"/>
        <v>0.94238044373295793</v>
      </c>
      <c r="AA36" s="3">
        <f t="shared" si="3"/>
        <v>602</v>
      </c>
      <c r="AB36">
        <f t="shared" si="2"/>
        <v>1</v>
      </c>
    </row>
    <row r="37" spans="1:28" x14ac:dyDescent="0.25">
      <c r="A37" s="7" t="s">
        <v>66</v>
      </c>
      <c r="B37" s="7" t="s">
        <v>97</v>
      </c>
      <c r="C37" s="10">
        <v>84.957786816350406</v>
      </c>
      <c r="D37" s="3">
        <v>11</v>
      </c>
      <c r="E37" s="14">
        <v>449</v>
      </c>
      <c r="F37" s="17">
        <v>6541.3293448024597</v>
      </c>
      <c r="G37" s="7" t="s">
        <v>42</v>
      </c>
      <c r="H37" s="14">
        <v>42</v>
      </c>
      <c r="I37" s="14">
        <v>27</v>
      </c>
      <c r="J37" s="14">
        <v>85</v>
      </c>
      <c r="K37" s="14">
        <v>8</v>
      </c>
      <c r="L37" s="7" t="s">
        <v>50</v>
      </c>
      <c r="M37" s="17">
        <v>5.2881899903273997</v>
      </c>
      <c r="N37" s="7" t="s">
        <v>46</v>
      </c>
      <c r="O37" s="7" t="s">
        <v>57</v>
      </c>
      <c r="P37" s="14">
        <v>3</v>
      </c>
      <c r="Q37" s="14">
        <v>367</v>
      </c>
      <c r="R37" s="14">
        <v>2</v>
      </c>
      <c r="S37" s="17">
        <v>58.004787044743701</v>
      </c>
      <c r="T37" s="7" t="s">
        <v>72</v>
      </c>
      <c r="U37" s="4">
        <v>0.54115409806058101</v>
      </c>
      <c r="V37" s="7" t="s">
        <v>65</v>
      </c>
      <c r="W37" s="7" t="s">
        <v>48</v>
      </c>
      <c r="X37" s="17">
        <v>553.42047123035502</v>
      </c>
      <c r="Y37" s="17">
        <f t="shared" si="0"/>
        <v>5924.6158965370332</v>
      </c>
      <c r="Z37" s="23">
        <f t="shared" si="1"/>
        <v>0.90572047121347776</v>
      </c>
      <c r="AA37" s="3">
        <f t="shared" si="3"/>
        <v>10.69047619047619</v>
      </c>
      <c r="AB37">
        <f t="shared" si="2"/>
        <v>1</v>
      </c>
    </row>
    <row r="38" spans="1:28" x14ac:dyDescent="0.25">
      <c r="A38" s="7" t="s">
        <v>40</v>
      </c>
      <c r="B38" s="7" t="s">
        <v>98</v>
      </c>
      <c r="C38" s="10">
        <v>9.81300257875405</v>
      </c>
      <c r="D38" s="3">
        <v>34</v>
      </c>
      <c r="E38" s="14">
        <v>963</v>
      </c>
      <c r="F38" s="17">
        <v>7573.4024578487297</v>
      </c>
      <c r="G38" s="7" t="s">
        <v>42</v>
      </c>
      <c r="H38" s="14">
        <v>18</v>
      </c>
      <c r="I38" s="14">
        <v>23</v>
      </c>
      <c r="J38" s="14">
        <v>28</v>
      </c>
      <c r="K38" s="14">
        <v>3</v>
      </c>
      <c r="L38" s="7" t="s">
        <v>34</v>
      </c>
      <c r="M38" s="17">
        <v>2.1079512671590801</v>
      </c>
      <c r="N38" s="7" t="s">
        <v>62</v>
      </c>
      <c r="O38" s="7" t="s">
        <v>57</v>
      </c>
      <c r="P38" s="14">
        <v>26</v>
      </c>
      <c r="Q38" s="14">
        <v>671</v>
      </c>
      <c r="R38" s="14">
        <v>19</v>
      </c>
      <c r="S38" s="17">
        <v>45.531364237162101</v>
      </c>
      <c r="T38" s="7" t="s">
        <v>53</v>
      </c>
      <c r="U38" s="4">
        <v>3.8055333792433501</v>
      </c>
      <c r="V38" s="7" t="s">
        <v>47</v>
      </c>
      <c r="W38" s="7" t="s">
        <v>48</v>
      </c>
      <c r="X38" s="17">
        <v>403.80897424817999</v>
      </c>
      <c r="Y38" s="17">
        <f t="shared" si="0"/>
        <v>7121.9541680962284</v>
      </c>
      <c r="Z38" s="23">
        <f t="shared" si="1"/>
        <v>0.94039029455187073</v>
      </c>
      <c r="AA38" s="3">
        <f t="shared" si="3"/>
        <v>53.5</v>
      </c>
      <c r="AB38">
        <f t="shared" si="2"/>
        <v>0</v>
      </c>
    </row>
    <row r="39" spans="1:28" x14ac:dyDescent="0.25">
      <c r="A39" s="7" t="s">
        <v>40</v>
      </c>
      <c r="B39" s="7" t="s">
        <v>99</v>
      </c>
      <c r="C39" s="10">
        <v>23.3998447526143</v>
      </c>
      <c r="D39" s="3">
        <v>5</v>
      </c>
      <c r="E39" s="14">
        <v>963</v>
      </c>
      <c r="F39" s="17">
        <v>2438.3399304700201</v>
      </c>
      <c r="G39" s="7" t="s">
        <v>42</v>
      </c>
      <c r="H39" s="14">
        <v>25</v>
      </c>
      <c r="I39" s="14">
        <v>8</v>
      </c>
      <c r="J39" s="14">
        <v>21</v>
      </c>
      <c r="K39" s="14">
        <v>9</v>
      </c>
      <c r="L39" s="7" t="s">
        <v>43</v>
      </c>
      <c r="M39" s="17">
        <v>1.53265527359043</v>
      </c>
      <c r="N39" s="7" t="s">
        <v>35</v>
      </c>
      <c r="O39" s="7" t="s">
        <v>52</v>
      </c>
      <c r="P39" s="14">
        <v>24</v>
      </c>
      <c r="Q39" s="14">
        <v>867</v>
      </c>
      <c r="R39" s="14">
        <v>15</v>
      </c>
      <c r="S39" s="17">
        <v>34.343277465075303</v>
      </c>
      <c r="T39" s="7" t="s">
        <v>37</v>
      </c>
      <c r="U39" s="4">
        <v>2.61028808484811</v>
      </c>
      <c r="V39" s="7" t="s">
        <v>65</v>
      </c>
      <c r="W39" s="7" t="s">
        <v>55</v>
      </c>
      <c r="X39" s="17">
        <v>183.932968043594</v>
      </c>
      <c r="Y39" s="17">
        <f t="shared" si="0"/>
        <v>2218.5310296877601</v>
      </c>
      <c r="Z39" s="23">
        <f t="shared" si="1"/>
        <v>0.9098530528760651</v>
      </c>
      <c r="AA39" s="3">
        <f t="shared" si="3"/>
        <v>38.520000000000003</v>
      </c>
      <c r="AB39">
        <f t="shared" si="2"/>
        <v>0</v>
      </c>
    </row>
    <row r="40" spans="1:28" x14ac:dyDescent="0.25">
      <c r="A40" s="7" t="s">
        <v>66</v>
      </c>
      <c r="B40" s="7" t="s">
        <v>100</v>
      </c>
      <c r="C40" s="10">
        <v>52.075930682707799</v>
      </c>
      <c r="D40" s="3">
        <v>75</v>
      </c>
      <c r="E40" s="14">
        <v>705</v>
      </c>
      <c r="F40" s="17">
        <v>9692.3180402184298</v>
      </c>
      <c r="G40" s="7" t="s">
        <v>33</v>
      </c>
      <c r="H40" s="14">
        <v>69</v>
      </c>
      <c r="I40" s="14">
        <v>1</v>
      </c>
      <c r="J40" s="14">
        <v>88</v>
      </c>
      <c r="K40" s="14">
        <v>5</v>
      </c>
      <c r="L40" s="7" t="s">
        <v>34</v>
      </c>
      <c r="M40" s="17">
        <v>9.2359314372492207</v>
      </c>
      <c r="N40" s="7" t="s">
        <v>51</v>
      </c>
      <c r="O40" s="7" t="s">
        <v>36</v>
      </c>
      <c r="P40" s="14">
        <v>10</v>
      </c>
      <c r="Q40" s="14">
        <v>841</v>
      </c>
      <c r="R40" s="14">
        <v>12</v>
      </c>
      <c r="S40" s="17">
        <v>5.9306936455283097</v>
      </c>
      <c r="T40" s="7" t="s">
        <v>37</v>
      </c>
      <c r="U40" s="4">
        <v>0.613326899164507</v>
      </c>
      <c r="V40" s="7" t="s">
        <v>47</v>
      </c>
      <c r="W40" s="7" t="s">
        <v>39</v>
      </c>
      <c r="X40" s="17">
        <v>339.67286994860598</v>
      </c>
      <c r="Y40" s="17">
        <f t="shared" si="0"/>
        <v>9337.4785451870448</v>
      </c>
      <c r="Z40" s="23">
        <f t="shared" si="1"/>
        <v>0.96338961499622966</v>
      </c>
      <c r="AA40" s="3">
        <f t="shared" si="3"/>
        <v>10.217391304347826</v>
      </c>
      <c r="AB40">
        <f t="shared" si="2"/>
        <v>0</v>
      </c>
    </row>
    <row r="41" spans="1:28" x14ac:dyDescent="0.25">
      <c r="A41" s="7" t="s">
        <v>40</v>
      </c>
      <c r="B41" s="7" t="s">
        <v>101</v>
      </c>
      <c r="C41" s="10">
        <v>19.127477265823199</v>
      </c>
      <c r="D41" s="3">
        <v>26</v>
      </c>
      <c r="E41" s="14">
        <v>176</v>
      </c>
      <c r="F41" s="17">
        <v>1912.4656631007599</v>
      </c>
      <c r="G41" s="7" t="s">
        <v>42</v>
      </c>
      <c r="H41" s="14">
        <v>78</v>
      </c>
      <c r="I41" s="14">
        <v>29</v>
      </c>
      <c r="J41" s="14">
        <v>34</v>
      </c>
      <c r="K41" s="14">
        <v>3</v>
      </c>
      <c r="L41" s="7" t="s">
        <v>43</v>
      </c>
      <c r="M41" s="17">
        <v>5.5625037788303802</v>
      </c>
      <c r="N41" s="7" t="s">
        <v>62</v>
      </c>
      <c r="O41" s="7" t="s">
        <v>52</v>
      </c>
      <c r="P41" s="14">
        <v>30</v>
      </c>
      <c r="Q41" s="14">
        <v>791</v>
      </c>
      <c r="R41" s="14">
        <v>6</v>
      </c>
      <c r="S41" s="17">
        <v>9.0058074287816403</v>
      </c>
      <c r="T41" s="7" t="s">
        <v>53</v>
      </c>
      <c r="U41" s="4">
        <v>1.4519722039968099</v>
      </c>
      <c r="V41" s="7" t="s">
        <v>47</v>
      </c>
      <c r="W41" s="7" t="s">
        <v>39</v>
      </c>
      <c r="X41" s="17">
        <v>653.67299455203295</v>
      </c>
      <c r="Y41" s="17">
        <f t="shared" si="0"/>
        <v>1244.2243573411147</v>
      </c>
      <c r="Z41" s="23">
        <f t="shared" si="1"/>
        <v>0.65058650795528639</v>
      </c>
      <c r="AA41" s="3">
        <f t="shared" si="3"/>
        <v>2.2564102564102564</v>
      </c>
      <c r="AB41">
        <f t="shared" si="2"/>
        <v>0</v>
      </c>
    </row>
    <row r="42" spans="1:28" x14ac:dyDescent="0.25">
      <c r="A42" s="7" t="s">
        <v>40</v>
      </c>
      <c r="B42" s="7" t="s">
        <v>102</v>
      </c>
      <c r="C42" s="10">
        <v>80.541424170940303</v>
      </c>
      <c r="D42" s="3">
        <v>97</v>
      </c>
      <c r="E42" s="14">
        <v>933</v>
      </c>
      <c r="F42" s="17">
        <v>5724.9593504562599</v>
      </c>
      <c r="G42" s="7" t="s">
        <v>42</v>
      </c>
      <c r="H42" s="14">
        <v>90</v>
      </c>
      <c r="I42" s="14">
        <v>20</v>
      </c>
      <c r="J42" s="14">
        <v>39</v>
      </c>
      <c r="K42" s="14">
        <v>8</v>
      </c>
      <c r="L42" s="7" t="s">
        <v>50</v>
      </c>
      <c r="M42" s="17">
        <v>7.2295951397364702</v>
      </c>
      <c r="N42" s="7" t="s">
        <v>46</v>
      </c>
      <c r="O42" s="7" t="s">
        <v>52</v>
      </c>
      <c r="P42" s="14">
        <v>18</v>
      </c>
      <c r="Q42" s="14">
        <v>793</v>
      </c>
      <c r="R42" s="14">
        <v>1</v>
      </c>
      <c r="S42" s="17">
        <v>88.179407104217404</v>
      </c>
      <c r="T42" s="7" t="s">
        <v>37</v>
      </c>
      <c r="U42" s="4">
        <v>4.2132694305865597</v>
      </c>
      <c r="V42" s="7" t="s">
        <v>38</v>
      </c>
      <c r="W42" s="7" t="s">
        <v>55</v>
      </c>
      <c r="X42" s="17">
        <v>529.80872398069096</v>
      </c>
      <c r="Y42" s="17">
        <f t="shared" si="0"/>
        <v>5099.7416242316149</v>
      </c>
      <c r="Z42" s="23">
        <f t="shared" si="1"/>
        <v>0.89079088811786633</v>
      </c>
      <c r="AA42" s="3">
        <f t="shared" si="3"/>
        <v>10.366666666666667</v>
      </c>
      <c r="AB42">
        <f t="shared" si="2"/>
        <v>0</v>
      </c>
    </row>
    <row r="43" spans="1:28" x14ac:dyDescent="0.25">
      <c r="A43" s="7" t="s">
        <v>40</v>
      </c>
      <c r="B43" s="7" t="s">
        <v>103</v>
      </c>
      <c r="C43" s="10">
        <v>99.113291615317095</v>
      </c>
      <c r="D43" s="3">
        <v>35</v>
      </c>
      <c r="E43" s="14">
        <v>556</v>
      </c>
      <c r="F43" s="17">
        <v>5521.2052590109697</v>
      </c>
      <c r="G43" s="7" t="s">
        <v>42</v>
      </c>
      <c r="H43" s="14">
        <v>64</v>
      </c>
      <c r="I43" s="14">
        <v>19</v>
      </c>
      <c r="J43" s="14">
        <v>38</v>
      </c>
      <c r="K43" s="14">
        <v>8</v>
      </c>
      <c r="L43" s="7" t="s">
        <v>34</v>
      </c>
      <c r="M43" s="17">
        <v>5.7732637437666501</v>
      </c>
      <c r="N43" s="7" t="s">
        <v>59</v>
      </c>
      <c r="O43" s="7" t="s">
        <v>70</v>
      </c>
      <c r="P43" s="14">
        <v>18</v>
      </c>
      <c r="Q43" s="14">
        <v>892</v>
      </c>
      <c r="R43" s="14">
        <v>7</v>
      </c>
      <c r="S43" s="17">
        <v>95.332064548772493</v>
      </c>
      <c r="T43" s="7" t="s">
        <v>53</v>
      </c>
      <c r="U43" s="4">
        <v>4.5302262398259602E-2</v>
      </c>
      <c r="V43" s="7" t="s">
        <v>65</v>
      </c>
      <c r="W43" s="7" t="s">
        <v>55</v>
      </c>
      <c r="X43" s="17">
        <v>275.52437113130901</v>
      </c>
      <c r="Y43" s="17">
        <f t="shared" si="0"/>
        <v>5144.5755595871215</v>
      </c>
      <c r="Z43" s="23">
        <f t="shared" si="1"/>
        <v>0.93178487635300933</v>
      </c>
      <c r="AA43" s="3">
        <f t="shared" si="3"/>
        <v>8.6875</v>
      </c>
      <c r="AB43">
        <f t="shared" si="2"/>
        <v>0</v>
      </c>
    </row>
    <row r="44" spans="1:28" x14ac:dyDescent="0.25">
      <c r="A44" s="7" t="s">
        <v>40</v>
      </c>
      <c r="B44" s="7" t="s">
        <v>104</v>
      </c>
      <c r="C44" s="10">
        <v>46.529167614516702</v>
      </c>
      <c r="D44" s="3">
        <v>98</v>
      </c>
      <c r="E44" s="14">
        <v>155</v>
      </c>
      <c r="F44" s="17">
        <v>1839.60942585676</v>
      </c>
      <c r="G44" s="7" t="s">
        <v>42</v>
      </c>
      <c r="H44" s="14">
        <v>22</v>
      </c>
      <c r="I44" s="14">
        <v>27</v>
      </c>
      <c r="J44" s="14">
        <v>57</v>
      </c>
      <c r="K44" s="14">
        <v>4</v>
      </c>
      <c r="L44" s="7" t="s">
        <v>50</v>
      </c>
      <c r="M44" s="17">
        <v>7.5262483268515004</v>
      </c>
      <c r="N44" s="7" t="s">
        <v>51</v>
      </c>
      <c r="O44" s="7" t="s">
        <v>60</v>
      </c>
      <c r="P44" s="14">
        <v>26</v>
      </c>
      <c r="Q44" s="14">
        <v>179</v>
      </c>
      <c r="R44" s="14">
        <v>7</v>
      </c>
      <c r="S44" s="17">
        <v>96.422820639571796</v>
      </c>
      <c r="T44" s="7" t="s">
        <v>53</v>
      </c>
      <c r="U44" s="4">
        <v>4.9392552886209398</v>
      </c>
      <c r="V44" s="7" t="s">
        <v>38</v>
      </c>
      <c r="W44" s="7" t="s">
        <v>55</v>
      </c>
      <c r="X44" s="17">
        <v>635.65712050199102</v>
      </c>
      <c r="Y44" s="17">
        <f t="shared" si="0"/>
        <v>1100.0032363883456</v>
      </c>
      <c r="Z44" s="23">
        <f t="shared" si="1"/>
        <v>0.59795477285948451</v>
      </c>
      <c r="AA44" s="3">
        <f t="shared" si="3"/>
        <v>7.0454545454545459</v>
      </c>
      <c r="AB44">
        <f t="shared" si="2"/>
        <v>0</v>
      </c>
    </row>
    <row r="45" spans="1:28" x14ac:dyDescent="0.25">
      <c r="A45" s="7" t="s">
        <v>31</v>
      </c>
      <c r="B45" s="7" t="s">
        <v>105</v>
      </c>
      <c r="C45" s="10">
        <v>11.7432717763092</v>
      </c>
      <c r="D45" s="3">
        <v>6</v>
      </c>
      <c r="E45" s="14">
        <v>598</v>
      </c>
      <c r="F45" s="17">
        <v>5737.4255991190203</v>
      </c>
      <c r="G45" s="7" t="s">
        <v>45</v>
      </c>
      <c r="H45" s="14">
        <v>36</v>
      </c>
      <c r="I45" s="14">
        <v>29</v>
      </c>
      <c r="J45" s="14">
        <v>85</v>
      </c>
      <c r="K45" s="14">
        <v>9</v>
      </c>
      <c r="L45" s="7" t="s">
        <v>34</v>
      </c>
      <c r="M45" s="17">
        <v>3.6940212683884499</v>
      </c>
      <c r="N45" s="7" t="s">
        <v>51</v>
      </c>
      <c r="O45" s="7" t="s">
        <v>36</v>
      </c>
      <c r="P45" s="14">
        <v>1</v>
      </c>
      <c r="Q45" s="14">
        <v>206</v>
      </c>
      <c r="R45" s="14">
        <v>23</v>
      </c>
      <c r="S45" s="17">
        <v>26.2773659573324</v>
      </c>
      <c r="T45" s="7" t="s">
        <v>37</v>
      </c>
      <c r="U45" s="4">
        <v>0.37230476798509698</v>
      </c>
      <c r="V45" s="7" t="s">
        <v>47</v>
      </c>
      <c r="W45" s="7" t="s">
        <v>55</v>
      </c>
      <c r="X45" s="17">
        <v>716.04411975933999</v>
      </c>
      <c r="Y45" s="17">
        <f t="shared" si="0"/>
        <v>4991.4100921339596</v>
      </c>
      <c r="Z45" s="23">
        <f t="shared" si="1"/>
        <v>0.86997382465410777</v>
      </c>
      <c r="AA45" s="3">
        <f t="shared" si="3"/>
        <v>16.611111111111111</v>
      </c>
      <c r="AB45">
        <f t="shared" si="2"/>
        <v>0</v>
      </c>
    </row>
    <row r="46" spans="1:28" x14ac:dyDescent="0.25">
      <c r="A46" s="7" t="s">
        <v>66</v>
      </c>
      <c r="B46" s="7" t="s">
        <v>106</v>
      </c>
      <c r="C46" s="10">
        <v>51.355790913110297</v>
      </c>
      <c r="D46" s="3">
        <v>34</v>
      </c>
      <c r="E46" s="14">
        <v>919</v>
      </c>
      <c r="F46" s="17">
        <v>7152.28604943551</v>
      </c>
      <c r="G46" s="7" t="s">
        <v>42</v>
      </c>
      <c r="H46" s="14">
        <v>13</v>
      </c>
      <c r="I46" s="14">
        <v>19</v>
      </c>
      <c r="J46" s="14">
        <v>72</v>
      </c>
      <c r="K46" s="14">
        <v>6</v>
      </c>
      <c r="L46" s="7" t="s">
        <v>50</v>
      </c>
      <c r="M46" s="17">
        <v>7.5774496573766896</v>
      </c>
      <c r="N46" s="7" t="s">
        <v>62</v>
      </c>
      <c r="O46" s="7" t="s">
        <v>57</v>
      </c>
      <c r="P46" s="14">
        <v>7</v>
      </c>
      <c r="Q46" s="14">
        <v>834</v>
      </c>
      <c r="R46" s="14">
        <v>18</v>
      </c>
      <c r="S46" s="17">
        <v>22.554106620887701</v>
      </c>
      <c r="T46" s="7" t="s">
        <v>53</v>
      </c>
      <c r="U46" s="4">
        <v>2.9626263204548802</v>
      </c>
      <c r="V46" s="7" t="s">
        <v>54</v>
      </c>
      <c r="W46" s="7" t="s">
        <v>55</v>
      </c>
      <c r="X46" s="17">
        <v>610.45326961922694</v>
      </c>
      <c r="Y46" s="17">
        <f t="shared" si="0"/>
        <v>6511.701223538018</v>
      </c>
      <c r="Z46" s="23">
        <f t="shared" si="1"/>
        <v>0.91043635259134392</v>
      </c>
      <c r="AA46" s="3">
        <f t="shared" si="3"/>
        <v>70.692307692307693</v>
      </c>
      <c r="AB46">
        <f t="shared" si="2"/>
        <v>0</v>
      </c>
    </row>
    <row r="47" spans="1:28" x14ac:dyDescent="0.25">
      <c r="A47" s="7" t="s">
        <v>31</v>
      </c>
      <c r="B47" s="7" t="s">
        <v>107</v>
      </c>
      <c r="C47" s="10">
        <v>33.784138033065503</v>
      </c>
      <c r="D47" s="3">
        <v>1</v>
      </c>
      <c r="E47" s="14">
        <v>24</v>
      </c>
      <c r="F47" s="17">
        <v>5267.9568075105199</v>
      </c>
      <c r="G47" s="7" t="s">
        <v>63</v>
      </c>
      <c r="H47" s="14">
        <v>93</v>
      </c>
      <c r="I47" s="14">
        <v>7</v>
      </c>
      <c r="J47" s="14">
        <v>52</v>
      </c>
      <c r="K47" s="14">
        <v>6</v>
      </c>
      <c r="L47" s="7" t="s">
        <v>34</v>
      </c>
      <c r="M47" s="17">
        <v>5.2151550087119096</v>
      </c>
      <c r="N47" s="7" t="s">
        <v>62</v>
      </c>
      <c r="O47" s="7" t="s">
        <v>70</v>
      </c>
      <c r="P47" s="14">
        <v>25</v>
      </c>
      <c r="Q47" s="14">
        <v>794</v>
      </c>
      <c r="R47" s="14">
        <v>25</v>
      </c>
      <c r="S47" s="17">
        <v>66.312544439991598</v>
      </c>
      <c r="T47" s="7" t="s">
        <v>72</v>
      </c>
      <c r="U47" s="4">
        <v>3.2196046120841002</v>
      </c>
      <c r="V47" s="7" t="s">
        <v>54</v>
      </c>
      <c r="W47" s="7" t="s">
        <v>55</v>
      </c>
      <c r="X47" s="17">
        <v>495.30569702847299</v>
      </c>
      <c r="Y47" s="17">
        <f t="shared" si="0"/>
        <v>4701.1234110333426</v>
      </c>
      <c r="Z47" s="23">
        <f t="shared" si="1"/>
        <v>0.89239976385739461</v>
      </c>
      <c r="AA47" s="3">
        <f t="shared" si="3"/>
        <v>0.25806451612903225</v>
      </c>
      <c r="AB47">
        <f t="shared" si="2"/>
        <v>1</v>
      </c>
    </row>
    <row r="48" spans="1:28" x14ac:dyDescent="0.25">
      <c r="A48" s="7" t="s">
        <v>31</v>
      </c>
      <c r="B48" s="7" t="s">
        <v>108</v>
      </c>
      <c r="C48" s="10">
        <v>27.082207199888899</v>
      </c>
      <c r="D48" s="3">
        <v>75</v>
      </c>
      <c r="E48" s="14">
        <v>859</v>
      </c>
      <c r="F48" s="17">
        <v>2556.7673606335902</v>
      </c>
      <c r="G48" s="7" t="s">
        <v>33</v>
      </c>
      <c r="H48" s="14">
        <v>92</v>
      </c>
      <c r="I48" s="14">
        <v>29</v>
      </c>
      <c r="J48" s="14">
        <v>6</v>
      </c>
      <c r="K48" s="14">
        <v>8</v>
      </c>
      <c r="L48" s="7" t="s">
        <v>34</v>
      </c>
      <c r="M48" s="17">
        <v>4.0709558370840799</v>
      </c>
      <c r="N48" s="7" t="s">
        <v>35</v>
      </c>
      <c r="O48" s="7" t="s">
        <v>70</v>
      </c>
      <c r="P48" s="14">
        <v>18</v>
      </c>
      <c r="Q48" s="14">
        <v>870</v>
      </c>
      <c r="R48" s="14">
        <v>23</v>
      </c>
      <c r="S48" s="17">
        <v>77.322353211051606</v>
      </c>
      <c r="T48" s="7" t="s">
        <v>37</v>
      </c>
      <c r="U48" s="4">
        <v>3.6486105925361998</v>
      </c>
      <c r="V48" s="7" t="s">
        <v>38</v>
      </c>
      <c r="W48" s="7" t="s">
        <v>39</v>
      </c>
      <c r="X48" s="17">
        <v>380.43593711196399</v>
      </c>
      <c r="Y48" s="17">
        <f t="shared" si="0"/>
        <v>2094.9381144734907</v>
      </c>
      <c r="Z48" s="23">
        <f t="shared" si="1"/>
        <v>0.81936986005419987</v>
      </c>
      <c r="AA48" s="3">
        <f t="shared" si="3"/>
        <v>9.3369565217391308</v>
      </c>
      <c r="AB48">
        <f t="shared" si="2"/>
        <v>0</v>
      </c>
    </row>
    <row r="49" spans="1:28" x14ac:dyDescent="0.25">
      <c r="A49" s="7" t="s">
        <v>40</v>
      </c>
      <c r="B49" s="7" t="s">
        <v>109</v>
      </c>
      <c r="C49" s="10">
        <v>95.712135880936003</v>
      </c>
      <c r="D49" s="3">
        <v>93</v>
      </c>
      <c r="E49" s="14">
        <v>910</v>
      </c>
      <c r="F49" s="17">
        <v>7089.4742499341801</v>
      </c>
      <c r="G49" s="7" t="s">
        <v>63</v>
      </c>
      <c r="H49" s="14">
        <v>4</v>
      </c>
      <c r="I49" s="14">
        <v>15</v>
      </c>
      <c r="J49" s="14">
        <v>51</v>
      </c>
      <c r="K49" s="14">
        <v>9</v>
      </c>
      <c r="L49" s="7" t="s">
        <v>34</v>
      </c>
      <c r="M49" s="17">
        <v>8.9787507559499709</v>
      </c>
      <c r="N49" s="7" t="s">
        <v>46</v>
      </c>
      <c r="O49" s="7" t="s">
        <v>52</v>
      </c>
      <c r="P49" s="14">
        <v>10</v>
      </c>
      <c r="Q49" s="14">
        <v>964</v>
      </c>
      <c r="R49" s="14">
        <v>20</v>
      </c>
      <c r="S49" s="17">
        <v>19.7129929112936</v>
      </c>
      <c r="T49" s="7" t="s">
        <v>37</v>
      </c>
      <c r="U49" s="4">
        <v>0.38057358671321301</v>
      </c>
      <c r="V49" s="7" t="s">
        <v>54</v>
      </c>
      <c r="W49" s="7" t="s">
        <v>55</v>
      </c>
      <c r="X49" s="17">
        <v>581.60235505058597</v>
      </c>
      <c r="Y49" s="17">
        <f t="shared" si="0"/>
        <v>6479.1801512163502</v>
      </c>
      <c r="Z49" s="23">
        <f t="shared" si="1"/>
        <v>0.91391546436274929</v>
      </c>
      <c r="AA49" s="3">
        <f t="shared" si="3"/>
        <v>227.5</v>
      </c>
      <c r="AB49">
        <f t="shared" si="2"/>
        <v>0</v>
      </c>
    </row>
    <row r="50" spans="1:28" x14ac:dyDescent="0.25">
      <c r="A50" s="7" t="s">
        <v>31</v>
      </c>
      <c r="B50" s="7" t="s">
        <v>110</v>
      </c>
      <c r="C50" s="10">
        <v>76.035544426891704</v>
      </c>
      <c r="D50" s="3">
        <v>28</v>
      </c>
      <c r="E50" s="14">
        <v>29</v>
      </c>
      <c r="F50" s="17">
        <v>7397.0710045871801</v>
      </c>
      <c r="G50" s="7" t="s">
        <v>33</v>
      </c>
      <c r="H50" s="14">
        <v>30</v>
      </c>
      <c r="I50" s="14">
        <v>16</v>
      </c>
      <c r="J50" s="14">
        <v>9</v>
      </c>
      <c r="K50" s="14">
        <v>3</v>
      </c>
      <c r="L50" s="7" t="s">
        <v>50</v>
      </c>
      <c r="M50" s="17">
        <v>7.0958331565551296</v>
      </c>
      <c r="N50" s="7" t="s">
        <v>62</v>
      </c>
      <c r="O50" s="7" t="s">
        <v>36</v>
      </c>
      <c r="P50" s="14">
        <v>9</v>
      </c>
      <c r="Q50" s="14">
        <v>109</v>
      </c>
      <c r="R50" s="14">
        <v>18</v>
      </c>
      <c r="S50" s="17">
        <v>23.126363582464698</v>
      </c>
      <c r="T50" s="7" t="s">
        <v>53</v>
      </c>
      <c r="U50" s="4">
        <v>1.6981125407144</v>
      </c>
      <c r="V50" s="7" t="s">
        <v>54</v>
      </c>
      <c r="W50" s="7" t="s">
        <v>39</v>
      </c>
      <c r="X50" s="17">
        <v>768.65191395437</v>
      </c>
      <c r="Y50" s="17">
        <f t="shared" si="0"/>
        <v>6598.1968938937907</v>
      </c>
      <c r="Z50" s="23">
        <f t="shared" si="1"/>
        <v>0.89200129210629719</v>
      </c>
      <c r="AA50" s="3">
        <f t="shared" si="3"/>
        <v>0.96666666666666667</v>
      </c>
      <c r="AB50">
        <f t="shared" si="2"/>
        <v>0</v>
      </c>
    </row>
    <row r="51" spans="1:28" x14ac:dyDescent="0.25">
      <c r="A51" s="7" t="s">
        <v>66</v>
      </c>
      <c r="B51" s="7" t="s">
        <v>111</v>
      </c>
      <c r="C51" s="10">
        <v>78.897913205639995</v>
      </c>
      <c r="D51" s="3">
        <v>19</v>
      </c>
      <c r="E51" s="14">
        <v>99</v>
      </c>
      <c r="F51" s="17">
        <v>8001.6132065190004</v>
      </c>
      <c r="G51" s="7" t="s">
        <v>45</v>
      </c>
      <c r="H51" s="14">
        <v>97</v>
      </c>
      <c r="I51" s="14">
        <v>24</v>
      </c>
      <c r="J51" s="14">
        <v>9</v>
      </c>
      <c r="K51" s="14">
        <v>6</v>
      </c>
      <c r="L51" s="7" t="s">
        <v>50</v>
      </c>
      <c r="M51" s="17">
        <v>2.5056210329009101</v>
      </c>
      <c r="N51" s="7" t="s">
        <v>51</v>
      </c>
      <c r="O51" s="7" t="s">
        <v>57</v>
      </c>
      <c r="P51" s="14">
        <v>28</v>
      </c>
      <c r="Q51" s="14">
        <v>177</v>
      </c>
      <c r="R51" s="14">
        <v>28</v>
      </c>
      <c r="S51" s="17">
        <v>14.1478154439792</v>
      </c>
      <c r="T51" s="7" t="s">
        <v>72</v>
      </c>
      <c r="U51" s="4">
        <v>2.8258139854001301</v>
      </c>
      <c r="V51" s="7" t="s">
        <v>54</v>
      </c>
      <c r="W51" s="7" t="s">
        <v>55</v>
      </c>
      <c r="X51" s="17">
        <v>336.89016851997701</v>
      </c>
      <c r="Y51" s="17">
        <f t="shared" si="0"/>
        <v>7648.0696015221429</v>
      </c>
      <c r="Z51" s="23">
        <f t="shared" si="1"/>
        <v>0.95581595912324013</v>
      </c>
      <c r="AA51" s="3">
        <f t="shared" si="3"/>
        <v>1.0206185567010309</v>
      </c>
      <c r="AB51">
        <f t="shared" si="2"/>
        <v>1</v>
      </c>
    </row>
    <row r="52" spans="1:28" x14ac:dyDescent="0.25">
      <c r="A52" s="7" t="s">
        <v>66</v>
      </c>
      <c r="B52" s="7" t="s">
        <v>112</v>
      </c>
      <c r="C52" s="10">
        <v>14.203484264803</v>
      </c>
      <c r="D52" s="3">
        <v>91</v>
      </c>
      <c r="E52" s="14">
        <v>633</v>
      </c>
      <c r="F52" s="17">
        <v>5910.8853896688897</v>
      </c>
      <c r="G52" s="7" t="s">
        <v>42</v>
      </c>
      <c r="H52" s="14">
        <v>31</v>
      </c>
      <c r="I52" s="14">
        <v>23</v>
      </c>
      <c r="J52" s="14">
        <v>82</v>
      </c>
      <c r="K52" s="14">
        <v>10</v>
      </c>
      <c r="L52" s="7" t="s">
        <v>43</v>
      </c>
      <c r="M52" s="17">
        <v>6.2478609149759903</v>
      </c>
      <c r="N52" s="7" t="s">
        <v>62</v>
      </c>
      <c r="O52" s="7" t="s">
        <v>57</v>
      </c>
      <c r="P52" s="14">
        <v>20</v>
      </c>
      <c r="Q52" s="14">
        <v>306</v>
      </c>
      <c r="R52" s="14">
        <v>21</v>
      </c>
      <c r="S52" s="17">
        <v>45.178757924634503</v>
      </c>
      <c r="T52" s="7" t="s">
        <v>53</v>
      </c>
      <c r="U52" s="4">
        <v>4.7548008046711798</v>
      </c>
      <c r="V52" s="7" t="s">
        <v>54</v>
      </c>
      <c r="W52" s="7" t="s">
        <v>39</v>
      </c>
      <c r="X52" s="17">
        <v>496.24865029194001</v>
      </c>
      <c r="Y52" s="17">
        <f t="shared" si="0"/>
        <v>5363.2101205373392</v>
      </c>
      <c r="Z52" s="23">
        <f t="shared" si="1"/>
        <v>0.90734463062187209</v>
      </c>
      <c r="AA52" s="3">
        <f t="shared" si="3"/>
        <v>20.419354838709676</v>
      </c>
      <c r="AB52">
        <f t="shared" si="2"/>
        <v>0</v>
      </c>
    </row>
    <row r="53" spans="1:28" x14ac:dyDescent="0.25">
      <c r="A53" s="7" t="s">
        <v>31</v>
      </c>
      <c r="B53" s="7" t="s">
        <v>113</v>
      </c>
      <c r="C53" s="10">
        <v>26.700760972461701</v>
      </c>
      <c r="D53" s="3">
        <v>61</v>
      </c>
      <c r="E53" s="14">
        <v>154</v>
      </c>
      <c r="F53" s="17">
        <v>9866.4654579796897</v>
      </c>
      <c r="G53" s="7" t="s">
        <v>63</v>
      </c>
      <c r="H53" s="14">
        <v>100</v>
      </c>
      <c r="I53" s="14">
        <v>4</v>
      </c>
      <c r="J53" s="14">
        <v>52</v>
      </c>
      <c r="K53" s="14">
        <v>1</v>
      </c>
      <c r="L53" s="7" t="s">
        <v>43</v>
      </c>
      <c r="M53" s="17">
        <v>4.78300055794766</v>
      </c>
      <c r="N53" s="7" t="s">
        <v>51</v>
      </c>
      <c r="O53" s="7" t="s">
        <v>60</v>
      </c>
      <c r="P53" s="14">
        <v>18</v>
      </c>
      <c r="Q53" s="14">
        <v>673</v>
      </c>
      <c r="R53" s="14">
        <v>28</v>
      </c>
      <c r="S53" s="17">
        <v>14.190328344569901</v>
      </c>
      <c r="T53" s="7" t="s">
        <v>37</v>
      </c>
      <c r="U53" s="4">
        <v>1.77295117208355</v>
      </c>
      <c r="V53" s="7" t="s">
        <v>38</v>
      </c>
      <c r="W53" s="7" t="s">
        <v>55</v>
      </c>
      <c r="X53" s="17">
        <v>694.98231757944495</v>
      </c>
      <c r="Y53" s="17">
        <f t="shared" si="0"/>
        <v>9152.5098114977282</v>
      </c>
      <c r="Z53" s="23">
        <f t="shared" si="1"/>
        <v>0.92763815476549039</v>
      </c>
      <c r="AA53" s="3">
        <f t="shared" si="3"/>
        <v>1.54</v>
      </c>
      <c r="AB53">
        <f t="shared" si="2"/>
        <v>0</v>
      </c>
    </row>
    <row r="54" spans="1:28" x14ac:dyDescent="0.25">
      <c r="A54" s="7" t="s">
        <v>40</v>
      </c>
      <c r="B54" s="7" t="s">
        <v>114</v>
      </c>
      <c r="C54" s="10">
        <v>98.031829656465007</v>
      </c>
      <c r="D54" s="3">
        <v>1</v>
      </c>
      <c r="E54" s="14">
        <v>820</v>
      </c>
      <c r="F54" s="17">
        <v>9435.7626089121295</v>
      </c>
      <c r="G54" s="7" t="s">
        <v>63</v>
      </c>
      <c r="H54" s="14">
        <v>64</v>
      </c>
      <c r="I54" s="14">
        <v>11</v>
      </c>
      <c r="J54" s="14">
        <v>11</v>
      </c>
      <c r="K54" s="14">
        <v>1</v>
      </c>
      <c r="L54" s="7" t="s">
        <v>34</v>
      </c>
      <c r="M54" s="17">
        <v>8.6310521797689397</v>
      </c>
      <c r="N54" s="7" t="s">
        <v>46</v>
      </c>
      <c r="O54" s="7" t="s">
        <v>36</v>
      </c>
      <c r="P54" s="14">
        <v>10</v>
      </c>
      <c r="Q54" s="14">
        <v>727</v>
      </c>
      <c r="R54" s="14">
        <v>27</v>
      </c>
      <c r="S54" s="17">
        <v>9.1668491485971497</v>
      </c>
      <c r="T54" s="7" t="s">
        <v>37</v>
      </c>
      <c r="U54" s="4">
        <v>2.1224716191438202</v>
      </c>
      <c r="V54" s="7" t="s">
        <v>47</v>
      </c>
      <c r="W54" s="7" t="s">
        <v>48</v>
      </c>
      <c r="X54" s="17">
        <v>602.89849883838303</v>
      </c>
      <c r="Y54" s="17">
        <f t="shared" si="0"/>
        <v>8815.0662087453784</v>
      </c>
      <c r="Z54" s="23">
        <f t="shared" si="1"/>
        <v>0.93421873505163222</v>
      </c>
      <c r="AA54" s="3">
        <f t="shared" si="3"/>
        <v>12.8125</v>
      </c>
      <c r="AB54">
        <f t="shared" si="2"/>
        <v>0</v>
      </c>
    </row>
    <row r="55" spans="1:28" x14ac:dyDescent="0.25">
      <c r="A55" s="7" t="s">
        <v>40</v>
      </c>
      <c r="B55" s="7" t="s">
        <v>115</v>
      </c>
      <c r="C55" s="10">
        <v>30.3414707112142</v>
      </c>
      <c r="D55" s="3">
        <v>93</v>
      </c>
      <c r="E55" s="14">
        <v>242</v>
      </c>
      <c r="F55" s="17">
        <v>8232.3348294258194</v>
      </c>
      <c r="G55" s="7" t="s">
        <v>63</v>
      </c>
      <c r="H55" s="14">
        <v>96</v>
      </c>
      <c r="I55" s="14">
        <v>25</v>
      </c>
      <c r="J55" s="14">
        <v>54</v>
      </c>
      <c r="K55" s="14">
        <v>3</v>
      </c>
      <c r="L55" s="7" t="s">
        <v>34</v>
      </c>
      <c r="M55" s="17">
        <v>1.0134865660958901</v>
      </c>
      <c r="N55" s="7" t="s">
        <v>46</v>
      </c>
      <c r="O55" s="7" t="s">
        <v>57</v>
      </c>
      <c r="P55" s="14">
        <v>1</v>
      </c>
      <c r="Q55" s="14">
        <v>631</v>
      </c>
      <c r="R55" s="14">
        <v>17</v>
      </c>
      <c r="S55" s="17">
        <v>83.344058991677898</v>
      </c>
      <c r="T55" s="7" t="s">
        <v>37</v>
      </c>
      <c r="U55" s="4">
        <v>1.41034757607602</v>
      </c>
      <c r="V55" s="7" t="s">
        <v>47</v>
      </c>
      <c r="W55" s="7" t="s">
        <v>39</v>
      </c>
      <c r="X55" s="17">
        <v>750.73784066827</v>
      </c>
      <c r="Y55" s="17">
        <f t="shared" si="0"/>
        <v>7397.2394431997745</v>
      </c>
      <c r="Z55" s="23">
        <f t="shared" si="1"/>
        <v>0.89855910825674101</v>
      </c>
      <c r="AA55" s="3">
        <f t="shared" si="3"/>
        <v>2.5208333333333335</v>
      </c>
      <c r="AB55">
        <f t="shared" si="2"/>
        <v>0</v>
      </c>
    </row>
    <row r="56" spans="1:28" x14ac:dyDescent="0.25">
      <c r="A56" s="7" t="s">
        <v>31</v>
      </c>
      <c r="B56" s="7" t="s">
        <v>116</v>
      </c>
      <c r="C56" s="10">
        <v>31.1462431602408</v>
      </c>
      <c r="D56" s="3">
        <v>11</v>
      </c>
      <c r="E56" s="14">
        <v>622</v>
      </c>
      <c r="F56" s="17">
        <v>6088.0214799408504</v>
      </c>
      <c r="G56" s="7" t="s">
        <v>33</v>
      </c>
      <c r="H56" s="14">
        <v>33</v>
      </c>
      <c r="I56" s="14">
        <v>22</v>
      </c>
      <c r="J56" s="14">
        <v>61</v>
      </c>
      <c r="K56" s="14">
        <v>3</v>
      </c>
      <c r="L56" s="7" t="s">
        <v>34</v>
      </c>
      <c r="M56" s="17">
        <v>4.3051034712876302</v>
      </c>
      <c r="N56" s="7" t="s">
        <v>46</v>
      </c>
      <c r="O56" s="7" t="s">
        <v>52</v>
      </c>
      <c r="P56" s="14">
        <v>26</v>
      </c>
      <c r="Q56" s="14">
        <v>497</v>
      </c>
      <c r="R56" s="14">
        <v>29</v>
      </c>
      <c r="S56" s="17">
        <v>30.186023375822501</v>
      </c>
      <c r="T56" s="7" t="s">
        <v>72</v>
      </c>
      <c r="U56" s="4">
        <v>2.4787719755397402</v>
      </c>
      <c r="V56" s="7" t="s">
        <v>38</v>
      </c>
      <c r="W56" s="7" t="s">
        <v>39</v>
      </c>
      <c r="X56" s="17">
        <v>814.06999658218695</v>
      </c>
      <c r="Y56" s="17">
        <f t="shared" si="0"/>
        <v>5239.4603565115531</v>
      </c>
      <c r="Z56" s="23">
        <f t="shared" si="1"/>
        <v>0.86061791565204171</v>
      </c>
      <c r="AA56" s="3">
        <f t="shared" si="3"/>
        <v>18.848484848484848</v>
      </c>
      <c r="AB56">
        <f t="shared" si="2"/>
        <v>1</v>
      </c>
    </row>
    <row r="57" spans="1:28" x14ac:dyDescent="0.25">
      <c r="A57" s="7" t="s">
        <v>31</v>
      </c>
      <c r="B57" s="7" t="s">
        <v>117</v>
      </c>
      <c r="C57" s="10">
        <v>79.855058340789398</v>
      </c>
      <c r="D57" s="3">
        <v>16</v>
      </c>
      <c r="E57" s="14">
        <v>701</v>
      </c>
      <c r="F57" s="17">
        <v>2925.6751703038099</v>
      </c>
      <c r="G57" s="7" t="s">
        <v>63</v>
      </c>
      <c r="H57" s="14">
        <v>97</v>
      </c>
      <c r="I57" s="14">
        <v>11</v>
      </c>
      <c r="J57" s="14">
        <v>11</v>
      </c>
      <c r="K57" s="14">
        <v>5</v>
      </c>
      <c r="L57" s="7" t="s">
        <v>43</v>
      </c>
      <c r="M57" s="17">
        <v>5.0143649550309002</v>
      </c>
      <c r="N57" s="7" t="s">
        <v>62</v>
      </c>
      <c r="O57" s="7" t="s">
        <v>57</v>
      </c>
      <c r="P57" s="14">
        <v>27</v>
      </c>
      <c r="Q57" s="14">
        <v>918</v>
      </c>
      <c r="R57" s="14">
        <v>5</v>
      </c>
      <c r="S57" s="17">
        <v>30.323545256616502</v>
      </c>
      <c r="T57" s="7" t="s">
        <v>53</v>
      </c>
      <c r="U57" s="4">
        <v>4.5489196593963799</v>
      </c>
      <c r="V57" s="7" t="s">
        <v>65</v>
      </c>
      <c r="W57" s="7" t="s">
        <v>39</v>
      </c>
      <c r="X57" s="17">
        <v>323.01292795247798</v>
      </c>
      <c r="Y57" s="17">
        <f t="shared" si="0"/>
        <v>2567.3243321396844</v>
      </c>
      <c r="Z57" s="23">
        <f t="shared" si="1"/>
        <v>0.87751516579781019</v>
      </c>
      <c r="AA57" s="3">
        <f t="shared" si="3"/>
        <v>7.2268041237113403</v>
      </c>
      <c r="AB57">
        <f t="shared" si="2"/>
        <v>0</v>
      </c>
    </row>
    <row r="58" spans="1:28" x14ac:dyDescent="0.25">
      <c r="A58" s="7" t="s">
        <v>40</v>
      </c>
      <c r="B58" s="7" t="s">
        <v>118</v>
      </c>
      <c r="C58" s="10">
        <v>20.9863860370433</v>
      </c>
      <c r="D58" s="3">
        <v>90</v>
      </c>
      <c r="E58" s="14">
        <v>93</v>
      </c>
      <c r="F58" s="17">
        <v>4767.0204843441297</v>
      </c>
      <c r="G58" s="7" t="s">
        <v>33</v>
      </c>
      <c r="H58" s="14">
        <v>25</v>
      </c>
      <c r="I58" s="14">
        <v>23</v>
      </c>
      <c r="J58" s="14">
        <v>83</v>
      </c>
      <c r="K58" s="14">
        <v>5</v>
      </c>
      <c r="L58" s="7" t="s">
        <v>50</v>
      </c>
      <c r="M58" s="17">
        <v>1.77442971407173</v>
      </c>
      <c r="N58" s="7" t="s">
        <v>46</v>
      </c>
      <c r="O58" s="7" t="s">
        <v>36</v>
      </c>
      <c r="P58" s="14">
        <v>24</v>
      </c>
      <c r="Q58" s="14">
        <v>826</v>
      </c>
      <c r="R58" s="14">
        <v>28</v>
      </c>
      <c r="S58" s="17">
        <v>12.8362845728327</v>
      </c>
      <c r="T58" s="7" t="s">
        <v>72</v>
      </c>
      <c r="U58" s="4">
        <v>1.1737554953874501</v>
      </c>
      <c r="V58" s="7" t="s">
        <v>47</v>
      </c>
      <c r="W58" s="7" t="s">
        <v>39</v>
      </c>
      <c r="X58" s="17">
        <v>832.210808706021</v>
      </c>
      <c r="Y58" s="17">
        <f t="shared" si="0"/>
        <v>3920.1989613512046</v>
      </c>
      <c r="Z58" s="23">
        <f t="shared" si="1"/>
        <v>0.82235832093147909</v>
      </c>
      <c r="AA58" s="3">
        <f t="shared" si="3"/>
        <v>3.72</v>
      </c>
      <c r="AB58">
        <f t="shared" si="2"/>
        <v>1</v>
      </c>
    </row>
    <row r="59" spans="1:28" x14ac:dyDescent="0.25">
      <c r="A59" s="7" t="s">
        <v>31</v>
      </c>
      <c r="B59" s="7" t="s">
        <v>119</v>
      </c>
      <c r="C59" s="10">
        <v>49.263205350734097</v>
      </c>
      <c r="D59" s="3">
        <v>65</v>
      </c>
      <c r="E59" s="14">
        <v>227</v>
      </c>
      <c r="F59" s="17">
        <v>1605.8669003924001</v>
      </c>
      <c r="G59" s="7" t="s">
        <v>45</v>
      </c>
      <c r="H59" s="14">
        <v>5</v>
      </c>
      <c r="I59" s="14">
        <v>18</v>
      </c>
      <c r="J59" s="14">
        <v>51</v>
      </c>
      <c r="K59" s="14">
        <v>1</v>
      </c>
      <c r="L59" s="7" t="s">
        <v>34</v>
      </c>
      <c r="M59" s="17">
        <v>9.1605585353818704</v>
      </c>
      <c r="N59" s="7" t="s">
        <v>62</v>
      </c>
      <c r="O59" s="7" t="s">
        <v>57</v>
      </c>
      <c r="P59" s="14">
        <v>21</v>
      </c>
      <c r="Q59" s="14">
        <v>588</v>
      </c>
      <c r="R59" s="14">
        <v>25</v>
      </c>
      <c r="S59" s="17">
        <v>67.779622987078099</v>
      </c>
      <c r="T59" s="7" t="s">
        <v>37</v>
      </c>
      <c r="U59" s="4">
        <v>2.5111748302126999</v>
      </c>
      <c r="V59" s="7" t="s">
        <v>54</v>
      </c>
      <c r="W59" s="7" t="s">
        <v>55</v>
      </c>
      <c r="X59" s="17">
        <v>482.19123860252802</v>
      </c>
      <c r="Y59" s="17">
        <f t="shared" si="0"/>
        <v>1046.7354802674122</v>
      </c>
      <c r="Z59" s="23">
        <f t="shared" si="1"/>
        <v>0.65181957484249664</v>
      </c>
      <c r="AA59" s="3">
        <f t="shared" si="3"/>
        <v>45.4</v>
      </c>
      <c r="AB59">
        <f t="shared" si="2"/>
        <v>0</v>
      </c>
    </row>
    <row r="60" spans="1:28" x14ac:dyDescent="0.25">
      <c r="A60" s="7" t="s">
        <v>40</v>
      </c>
      <c r="B60" s="7" t="s">
        <v>120</v>
      </c>
      <c r="C60" s="10">
        <v>59.841561377289302</v>
      </c>
      <c r="D60" s="3">
        <v>81</v>
      </c>
      <c r="E60" s="14">
        <v>896</v>
      </c>
      <c r="F60" s="17">
        <v>2021.1498103371</v>
      </c>
      <c r="G60" s="7" t="s">
        <v>33</v>
      </c>
      <c r="H60" s="14">
        <v>10</v>
      </c>
      <c r="I60" s="14">
        <v>5</v>
      </c>
      <c r="J60" s="14">
        <v>44</v>
      </c>
      <c r="K60" s="14">
        <v>7</v>
      </c>
      <c r="L60" s="7" t="s">
        <v>43</v>
      </c>
      <c r="M60" s="17">
        <v>4.9384385647120901</v>
      </c>
      <c r="N60" s="7" t="s">
        <v>35</v>
      </c>
      <c r="O60" s="7" t="s">
        <v>57</v>
      </c>
      <c r="P60" s="14">
        <v>18</v>
      </c>
      <c r="Q60" s="14">
        <v>396</v>
      </c>
      <c r="R60" s="14">
        <v>7</v>
      </c>
      <c r="S60" s="17">
        <v>65.047415094691402</v>
      </c>
      <c r="T60" s="7" t="s">
        <v>53</v>
      </c>
      <c r="U60" s="4">
        <v>1.7303747198591899</v>
      </c>
      <c r="V60" s="7" t="s">
        <v>38</v>
      </c>
      <c r="W60" s="7" t="s">
        <v>39</v>
      </c>
      <c r="X60" s="17">
        <v>110.364335231364</v>
      </c>
      <c r="Y60" s="17">
        <f t="shared" si="0"/>
        <v>1840.7996214463326</v>
      </c>
      <c r="Z60" s="23">
        <f t="shared" si="1"/>
        <v>0.91076851999373198</v>
      </c>
      <c r="AA60" s="3">
        <f t="shared" si="3"/>
        <v>89.6</v>
      </c>
      <c r="AB60">
        <f t="shared" si="2"/>
        <v>0</v>
      </c>
    </row>
    <row r="61" spans="1:28" x14ac:dyDescent="0.25">
      <c r="A61" s="7" t="s">
        <v>66</v>
      </c>
      <c r="B61" s="7" t="s">
        <v>121</v>
      </c>
      <c r="C61" s="10">
        <v>63.828398347710902</v>
      </c>
      <c r="D61" s="3">
        <v>30</v>
      </c>
      <c r="E61" s="14">
        <v>484</v>
      </c>
      <c r="F61" s="17">
        <v>1061.6185230132801</v>
      </c>
      <c r="G61" s="7" t="s">
        <v>33</v>
      </c>
      <c r="H61" s="14">
        <v>100</v>
      </c>
      <c r="I61" s="14">
        <v>16</v>
      </c>
      <c r="J61" s="14">
        <v>26</v>
      </c>
      <c r="K61" s="14">
        <v>7</v>
      </c>
      <c r="L61" s="7" t="s">
        <v>34</v>
      </c>
      <c r="M61" s="17">
        <v>7.2937225968677204</v>
      </c>
      <c r="N61" s="7" t="s">
        <v>46</v>
      </c>
      <c r="O61" s="7" t="s">
        <v>52</v>
      </c>
      <c r="P61" s="14">
        <v>11</v>
      </c>
      <c r="Q61" s="14">
        <v>176</v>
      </c>
      <c r="R61" s="14">
        <v>4</v>
      </c>
      <c r="S61" s="17">
        <v>1.90076224351945</v>
      </c>
      <c r="T61" s="7" t="s">
        <v>53</v>
      </c>
      <c r="U61" s="4">
        <v>0.44719401546382298</v>
      </c>
      <c r="V61" s="7" t="s">
        <v>47</v>
      </c>
      <c r="W61" s="7" t="s">
        <v>55</v>
      </c>
      <c r="X61" s="17">
        <v>312.57427361009297</v>
      </c>
      <c r="Y61" s="17">
        <f t="shared" si="0"/>
        <v>739.84976456280003</v>
      </c>
      <c r="Z61" s="23">
        <f t="shared" si="1"/>
        <v>0.69690736222539051</v>
      </c>
      <c r="AA61" s="3">
        <f t="shared" si="3"/>
        <v>4.84</v>
      </c>
      <c r="AB61">
        <f t="shared" si="2"/>
        <v>0</v>
      </c>
    </row>
    <row r="62" spans="1:28" x14ac:dyDescent="0.25">
      <c r="A62" s="7" t="s">
        <v>40</v>
      </c>
      <c r="B62" s="7" t="s">
        <v>122</v>
      </c>
      <c r="C62" s="10">
        <v>17.028027920188698</v>
      </c>
      <c r="D62" s="3">
        <v>16</v>
      </c>
      <c r="E62" s="14">
        <v>380</v>
      </c>
      <c r="F62" s="17">
        <v>8864.0843495864301</v>
      </c>
      <c r="G62" s="7" t="s">
        <v>42</v>
      </c>
      <c r="H62" s="14">
        <v>41</v>
      </c>
      <c r="I62" s="14">
        <v>27</v>
      </c>
      <c r="J62" s="14">
        <v>72</v>
      </c>
      <c r="K62" s="14">
        <v>8</v>
      </c>
      <c r="L62" s="7" t="s">
        <v>50</v>
      </c>
      <c r="M62" s="17">
        <v>4.3813681581023101</v>
      </c>
      <c r="N62" s="7" t="s">
        <v>59</v>
      </c>
      <c r="O62" s="7" t="s">
        <v>36</v>
      </c>
      <c r="P62" s="14">
        <v>29</v>
      </c>
      <c r="Q62" s="14">
        <v>929</v>
      </c>
      <c r="R62" s="14">
        <v>24</v>
      </c>
      <c r="S62" s="17">
        <v>87.213057815135599</v>
      </c>
      <c r="T62" s="7" t="s">
        <v>53</v>
      </c>
      <c r="U62" s="4">
        <v>2.8530906166490499</v>
      </c>
      <c r="V62" s="7" t="s">
        <v>54</v>
      </c>
      <c r="W62" s="7" t="s">
        <v>55</v>
      </c>
      <c r="X62" s="17">
        <v>430.16909697513597</v>
      </c>
      <c r="Y62" s="17">
        <f t="shared" si="0"/>
        <v>8342.3208266380552</v>
      </c>
      <c r="Z62" s="23">
        <f t="shared" si="1"/>
        <v>0.94113734680641681</v>
      </c>
      <c r="AA62" s="3">
        <f t="shared" si="3"/>
        <v>9.2682926829268286</v>
      </c>
      <c r="AB62">
        <f t="shared" si="2"/>
        <v>0</v>
      </c>
    </row>
    <row r="63" spans="1:28" x14ac:dyDescent="0.25">
      <c r="A63" s="7" t="s">
        <v>31</v>
      </c>
      <c r="B63" s="7" t="s">
        <v>123</v>
      </c>
      <c r="C63" s="10">
        <v>52.028749903294901</v>
      </c>
      <c r="D63" s="3">
        <v>23</v>
      </c>
      <c r="E63" s="14">
        <v>117</v>
      </c>
      <c r="F63" s="17">
        <v>6885.5893508962499</v>
      </c>
      <c r="G63" s="7" t="s">
        <v>45</v>
      </c>
      <c r="H63" s="14">
        <v>32</v>
      </c>
      <c r="I63" s="14">
        <v>23</v>
      </c>
      <c r="J63" s="14">
        <v>36</v>
      </c>
      <c r="K63" s="14">
        <v>7</v>
      </c>
      <c r="L63" s="7" t="s">
        <v>50</v>
      </c>
      <c r="M63" s="17">
        <v>9.0303404225219399</v>
      </c>
      <c r="N63" s="7" t="s">
        <v>59</v>
      </c>
      <c r="O63" s="7" t="s">
        <v>52</v>
      </c>
      <c r="P63" s="14">
        <v>14</v>
      </c>
      <c r="Q63" s="14">
        <v>480</v>
      </c>
      <c r="R63" s="14">
        <v>12</v>
      </c>
      <c r="S63" s="17">
        <v>78.702393968878894</v>
      </c>
      <c r="T63" s="7" t="s">
        <v>53</v>
      </c>
      <c r="U63" s="4">
        <v>4.3674705382050503</v>
      </c>
      <c r="V63" s="7" t="s">
        <v>47</v>
      </c>
      <c r="W63" s="7" t="s">
        <v>55</v>
      </c>
      <c r="X63" s="17">
        <v>164.366528243419</v>
      </c>
      <c r="Y63" s="17">
        <f t="shared" si="0"/>
        <v>6633.4900882614293</v>
      </c>
      <c r="Z63" s="23">
        <f t="shared" si="1"/>
        <v>0.96338740959014546</v>
      </c>
      <c r="AA63" s="3">
        <f t="shared" si="3"/>
        <v>3.65625</v>
      </c>
      <c r="AB63">
        <f t="shared" si="2"/>
        <v>0</v>
      </c>
    </row>
    <row r="64" spans="1:28" x14ac:dyDescent="0.25">
      <c r="A64" s="7" t="s">
        <v>66</v>
      </c>
      <c r="B64" s="7" t="s">
        <v>124</v>
      </c>
      <c r="C64" s="10">
        <v>72.796353955587307</v>
      </c>
      <c r="D64" s="3">
        <v>89</v>
      </c>
      <c r="E64" s="14">
        <v>270</v>
      </c>
      <c r="F64" s="17">
        <v>3899.7468337292198</v>
      </c>
      <c r="G64" s="7" t="s">
        <v>45</v>
      </c>
      <c r="H64" s="14">
        <v>86</v>
      </c>
      <c r="I64" s="14">
        <v>2</v>
      </c>
      <c r="J64" s="14">
        <v>40</v>
      </c>
      <c r="K64" s="14">
        <v>7</v>
      </c>
      <c r="L64" s="7" t="s">
        <v>50</v>
      </c>
      <c r="M64" s="17">
        <v>7.2917013887767697</v>
      </c>
      <c r="N64" s="7" t="s">
        <v>62</v>
      </c>
      <c r="O64" s="7" t="s">
        <v>36</v>
      </c>
      <c r="P64" s="14">
        <v>13</v>
      </c>
      <c r="Q64" s="14">
        <v>751</v>
      </c>
      <c r="R64" s="14">
        <v>14</v>
      </c>
      <c r="S64" s="17">
        <v>21.048642725168602</v>
      </c>
      <c r="T64" s="7" t="s">
        <v>72</v>
      </c>
      <c r="U64" s="4">
        <v>1.87400140404437</v>
      </c>
      <c r="V64" s="7" t="s">
        <v>65</v>
      </c>
      <c r="W64" s="7" t="s">
        <v>48</v>
      </c>
      <c r="X64" s="17">
        <v>320.84651575911101</v>
      </c>
      <c r="Y64" s="17">
        <f t="shared" si="0"/>
        <v>3550.5599738561637</v>
      </c>
      <c r="Z64" s="23">
        <f t="shared" si="1"/>
        <v>0.91045909522820523</v>
      </c>
      <c r="AA64" s="3">
        <f t="shared" si="3"/>
        <v>3.13953488372093</v>
      </c>
      <c r="AB64">
        <f t="shared" si="2"/>
        <v>1</v>
      </c>
    </row>
    <row r="65" spans="1:28" x14ac:dyDescent="0.25">
      <c r="A65" s="7" t="s">
        <v>40</v>
      </c>
      <c r="B65" s="7" t="s">
        <v>125</v>
      </c>
      <c r="C65" s="10">
        <v>13.0173767852878</v>
      </c>
      <c r="D65" s="3">
        <v>55</v>
      </c>
      <c r="E65" s="14">
        <v>246</v>
      </c>
      <c r="F65" s="17">
        <v>4256.9491408502199</v>
      </c>
      <c r="G65" s="7" t="s">
        <v>33</v>
      </c>
      <c r="H65" s="14">
        <v>54</v>
      </c>
      <c r="I65" s="14">
        <v>19</v>
      </c>
      <c r="J65" s="14">
        <v>10</v>
      </c>
      <c r="K65" s="14">
        <v>4</v>
      </c>
      <c r="L65" s="7" t="s">
        <v>43</v>
      </c>
      <c r="M65" s="17">
        <v>2.45793352798733</v>
      </c>
      <c r="N65" s="7" t="s">
        <v>35</v>
      </c>
      <c r="O65" s="7" t="s">
        <v>60</v>
      </c>
      <c r="P65" s="14">
        <v>18</v>
      </c>
      <c r="Q65" s="14">
        <v>736</v>
      </c>
      <c r="R65" s="14">
        <v>10</v>
      </c>
      <c r="S65" s="17">
        <v>20.075003975630398</v>
      </c>
      <c r="T65" s="7" t="s">
        <v>37</v>
      </c>
      <c r="U65" s="4">
        <v>3.6328432903821302</v>
      </c>
      <c r="V65" s="7" t="s">
        <v>65</v>
      </c>
      <c r="W65" s="7" t="s">
        <v>55</v>
      </c>
      <c r="X65" s="17">
        <v>687.28617786641701</v>
      </c>
      <c r="Y65" s="17">
        <f t="shared" si="0"/>
        <v>3547.1300254801849</v>
      </c>
      <c r="Z65" s="23">
        <f t="shared" si="1"/>
        <v>0.83325637871532887</v>
      </c>
      <c r="AA65" s="3">
        <f t="shared" si="3"/>
        <v>4.5555555555555554</v>
      </c>
      <c r="AB65">
        <f t="shared" si="2"/>
        <v>0</v>
      </c>
    </row>
    <row r="66" spans="1:28" x14ac:dyDescent="0.25">
      <c r="A66" s="7" t="s">
        <v>40</v>
      </c>
      <c r="B66" s="7" t="s">
        <v>126</v>
      </c>
      <c r="C66" s="10">
        <v>89.634095608135297</v>
      </c>
      <c r="D66" s="3">
        <v>11</v>
      </c>
      <c r="E66" s="14">
        <v>134</v>
      </c>
      <c r="F66" s="17">
        <v>8458.7308783671706</v>
      </c>
      <c r="G66" s="7" t="s">
        <v>42</v>
      </c>
      <c r="H66" s="14">
        <v>73</v>
      </c>
      <c r="I66" s="14">
        <v>27</v>
      </c>
      <c r="J66" s="14">
        <v>75</v>
      </c>
      <c r="K66" s="14">
        <v>6</v>
      </c>
      <c r="L66" s="7" t="s">
        <v>50</v>
      </c>
      <c r="M66" s="17">
        <v>4.5853534681946497</v>
      </c>
      <c r="N66" s="7" t="s">
        <v>46</v>
      </c>
      <c r="O66" s="7" t="s">
        <v>57</v>
      </c>
      <c r="P66" s="14">
        <v>17</v>
      </c>
      <c r="Q66" s="14">
        <v>328</v>
      </c>
      <c r="R66" s="14">
        <v>6</v>
      </c>
      <c r="S66" s="17">
        <v>8.6930424258772803</v>
      </c>
      <c r="T66" s="7" t="s">
        <v>53</v>
      </c>
      <c r="U66" s="4">
        <v>0.15948631471751401</v>
      </c>
      <c r="V66" s="7" t="s">
        <v>47</v>
      </c>
      <c r="W66" s="7" t="s">
        <v>48</v>
      </c>
      <c r="X66" s="17">
        <v>771.225084681157</v>
      </c>
      <c r="Y66" s="17">
        <f t="shared" si="0"/>
        <v>7674.2273977919413</v>
      </c>
      <c r="Z66" s="23">
        <f t="shared" si="1"/>
        <v>0.90725517907401898</v>
      </c>
      <c r="AA66" s="3">
        <f t="shared" si="3"/>
        <v>1.8356164383561644</v>
      </c>
      <c r="AB66">
        <f t="shared" si="2"/>
        <v>0</v>
      </c>
    </row>
    <row r="67" spans="1:28" x14ac:dyDescent="0.25">
      <c r="A67" s="7" t="s">
        <v>40</v>
      </c>
      <c r="B67" s="7" t="s">
        <v>127</v>
      </c>
      <c r="C67" s="10">
        <v>33.697717206643098</v>
      </c>
      <c r="D67" s="3">
        <v>72</v>
      </c>
      <c r="E67" s="14">
        <v>457</v>
      </c>
      <c r="F67" s="17">
        <v>8354.5796864819895</v>
      </c>
      <c r="G67" s="7" t="s">
        <v>63</v>
      </c>
      <c r="H67" s="14">
        <v>57</v>
      </c>
      <c r="I67" s="14">
        <v>24</v>
      </c>
      <c r="J67" s="14">
        <v>54</v>
      </c>
      <c r="K67" s="14">
        <v>8</v>
      </c>
      <c r="L67" s="7" t="s">
        <v>50</v>
      </c>
      <c r="M67" s="17">
        <v>6.5805413478845898</v>
      </c>
      <c r="N67" s="7" t="s">
        <v>51</v>
      </c>
      <c r="O67" s="7" t="s">
        <v>52</v>
      </c>
      <c r="P67" s="14">
        <v>16</v>
      </c>
      <c r="Q67" s="14">
        <v>358</v>
      </c>
      <c r="R67" s="14">
        <v>21</v>
      </c>
      <c r="S67" s="17">
        <v>1.59722274305067</v>
      </c>
      <c r="T67" s="7" t="s">
        <v>53</v>
      </c>
      <c r="U67" s="4">
        <v>4.9110959548423301</v>
      </c>
      <c r="V67" s="7" t="s">
        <v>54</v>
      </c>
      <c r="W67" s="7" t="s">
        <v>48</v>
      </c>
      <c r="X67" s="17">
        <v>555.85910367174301</v>
      </c>
      <c r="Y67" s="17">
        <f t="shared" si="0"/>
        <v>7790.542818719312</v>
      </c>
      <c r="Z67" s="23">
        <f t="shared" ref="Z67:Z101" si="4">Y67/F67</f>
        <v>0.93248770268176273</v>
      </c>
      <c r="AA67" s="3">
        <f t="shared" si="3"/>
        <v>8.0175438596491233</v>
      </c>
      <c r="AB67">
        <f t="shared" ref="AB67:AB101" si="5">IF(T67="Pass",1,0)</f>
        <v>0</v>
      </c>
    </row>
    <row r="68" spans="1:28" x14ac:dyDescent="0.25">
      <c r="A68" s="7" t="s">
        <v>40</v>
      </c>
      <c r="B68" s="7" t="s">
        <v>128</v>
      </c>
      <c r="C68" s="10">
        <v>26.034869773962001</v>
      </c>
      <c r="D68" s="3">
        <v>52</v>
      </c>
      <c r="E68" s="14">
        <v>704</v>
      </c>
      <c r="F68" s="17">
        <v>8367.7216180201503</v>
      </c>
      <c r="G68" s="7" t="s">
        <v>42</v>
      </c>
      <c r="H68" s="14">
        <v>13</v>
      </c>
      <c r="I68" s="14">
        <v>17</v>
      </c>
      <c r="J68" s="14">
        <v>19</v>
      </c>
      <c r="K68" s="14">
        <v>8</v>
      </c>
      <c r="L68" s="7" t="s">
        <v>43</v>
      </c>
      <c r="M68" s="17">
        <v>2.2161427287713602</v>
      </c>
      <c r="N68" s="7" t="s">
        <v>51</v>
      </c>
      <c r="O68" s="7" t="s">
        <v>52</v>
      </c>
      <c r="P68" s="14">
        <v>24</v>
      </c>
      <c r="Q68" s="14">
        <v>867</v>
      </c>
      <c r="R68" s="14">
        <v>28</v>
      </c>
      <c r="S68" s="17">
        <v>42.084436738309897</v>
      </c>
      <c r="T68" s="7" t="s">
        <v>53</v>
      </c>
      <c r="U68" s="4">
        <v>3.44806328834026</v>
      </c>
      <c r="V68" s="7" t="s">
        <v>38</v>
      </c>
      <c r="W68" s="7" t="s">
        <v>55</v>
      </c>
      <c r="X68" s="17">
        <v>393.84334857842703</v>
      </c>
      <c r="Y68" s="17">
        <f t="shared" si="0"/>
        <v>7929.5776899746415</v>
      </c>
      <c r="Z68" s="23">
        <f t="shared" si="4"/>
        <v>0.9476388020483435</v>
      </c>
      <c r="AA68" s="3">
        <f t="shared" ref="AA68:AA101" si="6">IFERROR(E68/H68,0)</f>
        <v>54.153846153846153</v>
      </c>
      <c r="AB68">
        <f t="shared" si="5"/>
        <v>0</v>
      </c>
    </row>
    <row r="69" spans="1:28" x14ac:dyDescent="0.25">
      <c r="A69" s="7" t="s">
        <v>40</v>
      </c>
      <c r="B69" s="7" t="s">
        <v>129</v>
      </c>
      <c r="C69" s="10">
        <v>87.755432354001002</v>
      </c>
      <c r="D69" s="3">
        <v>16</v>
      </c>
      <c r="E69" s="14">
        <v>513</v>
      </c>
      <c r="F69" s="17">
        <v>9473.7980325083299</v>
      </c>
      <c r="G69" s="7" t="s">
        <v>45</v>
      </c>
      <c r="H69" s="14">
        <v>12</v>
      </c>
      <c r="I69" s="14">
        <v>9</v>
      </c>
      <c r="J69" s="14">
        <v>71</v>
      </c>
      <c r="K69" s="14">
        <v>9</v>
      </c>
      <c r="L69" s="7" t="s">
        <v>50</v>
      </c>
      <c r="M69" s="17">
        <v>9.1478115447106294</v>
      </c>
      <c r="N69" s="7" t="s">
        <v>46</v>
      </c>
      <c r="O69" s="7" t="s">
        <v>36</v>
      </c>
      <c r="P69" s="14">
        <v>10</v>
      </c>
      <c r="Q69" s="14">
        <v>198</v>
      </c>
      <c r="R69" s="14">
        <v>11</v>
      </c>
      <c r="S69" s="17">
        <v>7.0578761469782298</v>
      </c>
      <c r="T69" s="7" t="s">
        <v>72</v>
      </c>
      <c r="U69" s="4">
        <v>0.131955444311814</v>
      </c>
      <c r="V69" s="7" t="s">
        <v>65</v>
      </c>
      <c r="W69" s="7" t="s">
        <v>48</v>
      </c>
      <c r="X69" s="17">
        <v>169.27180138478599</v>
      </c>
      <c r="Y69" s="17">
        <f t="shared" si="0"/>
        <v>9288.3205434318552</v>
      </c>
      <c r="Z69" s="23">
        <f t="shared" si="4"/>
        <v>0.98042205581752662</v>
      </c>
      <c r="AA69" s="3">
        <f t="shared" si="6"/>
        <v>42.75</v>
      </c>
      <c r="AB69">
        <f t="shared" si="5"/>
        <v>1</v>
      </c>
    </row>
    <row r="70" spans="1:28" x14ac:dyDescent="0.25">
      <c r="A70" s="7" t="s">
        <v>31</v>
      </c>
      <c r="B70" s="7" t="s">
        <v>130</v>
      </c>
      <c r="C70" s="10">
        <v>37.931812382790298</v>
      </c>
      <c r="D70" s="3">
        <v>29</v>
      </c>
      <c r="E70" s="14">
        <v>163</v>
      </c>
      <c r="F70" s="17">
        <v>3550.21843278099</v>
      </c>
      <c r="G70" s="7" t="s">
        <v>33</v>
      </c>
      <c r="H70" s="14">
        <v>0</v>
      </c>
      <c r="I70" s="14">
        <v>8</v>
      </c>
      <c r="J70" s="14">
        <v>58</v>
      </c>
      <c r="K70" s="14">
        <v>8</v>
      </c>
      <c r="L70" s="7" t="s">
        <v>34</v>
      </c>
      <c r="M70" s="17">
        <v>1.19425186488499</v>
      </c>
      <c r="N70" s="7" t="s">
        <v>62</v>
      </c>
      <c r="O70" s="7" t="s">
        <v>60</v>
      </c>
      <c r="P70" s="14">
        <v>2</v>
      </c>
      <c r="Q70" s="14">
        <v>375</v>
      </c>
      <c r="R70" s="14">
        <v>18</v>
      </c>
      <c r="S70" s="17">
        <v>97.113581563462205</v>
      </c>
      <c r="T70" s="7" t="s">
        <v>53</v>
      </c>
      <c r="U70" s="4">
        <v>1.9834678721741801</v>
      </c>
      <c r="V70" s="7" t="s">
        <v>54</v>
      </c>
      <c r="W70" s="7" t="s">
        <v>55</v>
      </c>
      <c r="X70" s="17">
        <v>299.70630311810299</v>
      </c>
      <c r="Y70" s="17">
        <f t="shared" si="0"/>
        <v>3152.2042962345404</v>
      </c>
      <c r="Z70" s="23">
        <f t="shared" si="4"/>
        <v>0.88789023997188998</v>
      </c>
      <c r="AA70" s="3">
        <f t="shared" si="6"/>
        <v>0</v>
      </c>
      <c r="AB70">
        <f t="shared" si="5"/>
        <v>0</v>
      </c>
    </row>
    <row r="71" spans="1:28" x14ac:dyDescent="0.25">
      <c r="A71" s="7" t="s">
        <v>40</v>
      </c>
      <c r="B71" s="7" t="s">
        <v>131</v>
      </c>
      <c r="C71" s="10">
        <v>54.865528517069698</v>
      </c>
      <c r="D71" s="3">
        <v>62</v>
      </c>
      <c r="E71" s="14">
        <v>511</v>
      </c>
      <c r="F71" s="17">
        <v>1752.3810874841199</v>
      </c>
      <c r="G71" s="7" t="s">
        <v>33</v>
      </c>
      <c r="H71" s="14">
        <v>95</v>
      </c>
      <c r="I71" s="14">
        <v>1</v>
      </c>
      <c r="J71" s="14">
        <v>27</v>
      </c>
      <c r="K71" s="14">
        <v>3</v>
      </c>
      <c r="L71" s="7" t="s">
        <v>34</v>
      </c>
      <c r="M71" s="17">
        <v>9.7052867901203399</v>
      </c>
      <c r="N71" s="7" t="s">
        <v>59</v>
      </c>
      <c r="O71" s="7" t="s">
        <v>52</v>
      </c>
      <c r="P71" s="14">
        <v>9</v>
      </c>
      <c r="Q71" s="14">
        <v>862</v>
      </c>
      <c r="R71" s="14">
        <v>7</v>
      </c>
      <c r="S71" s="17">
        <v>77.627765812748095</v>
      </c>
      <c r="T71" s="7" t="s">
        <v>37</v>
      </c>
      <c r="U71" s="4">
        <v>1.3623879886490999</v>
      </c>
      <c r="V71" s="7" t="s">
        <v>47</v>
      </c>
      <c r="W71" s="7" t="s">
        <v>55</v>
      </c>
      <c r="X71" s="17">
        <v>207.66320620857499</v>
      </c>
      <c r="Y71" s="17">
        <f t="shared" si="0"/>
        <v>1457.3848286726763</v>
      </c>
      <c r="Z71" s="23">
        <f t="shared" si="4"/>
        <v>0.83165975659154856</v>
      </c>
      <c r="AA71" s="3">
        <f t="shared" si="6"/>
        <v>5.3789473684210529</v>
      </c>
      <c r="AB71">
        <f t="shared" si="5"/>
        <v>0</v>
      </c>
    </row>
    <row r="72" spans="1:28" x14ac:dyDescent="0.25">
      <c r="A72" s="7" t="s">
        <v>31</v>
      </c>
      <c r="B72" s="7" t="s">
        <v>132</v>
      </c>
      <c r="C72" s="10">
        <v>47.914541824058702</v>
      </c>
      <c r="D72" s="3">
        <v>90</v>
      </c>
      <c r="E72" s="14">
        <v>32</v>
      </c>
      <c r="F72" s="17">
        <v>7014.8879872033804</v>
      </c>
      <c r="G72" s="7" t="s">
        <v>42</v>
      </c>
      <c r="H72" s="14">
        <v>10</v>
      </c>
      <c r="I72" s="14">
        <v>12</v>
      </c>
      <c r="J72" s="14">
        <v>22</v>
      </c>
      <c r="K72" s="14">
        <v>4</v>
      </c>
      <c r="L72" s="7" t="s">
        <v>34</v>
      </c>
      <c r="M72" s="17">
        <v>6.3157177546007199</v>
      </c>
      <c r="N72" s="7" t="s">
        <v>46</v>
      </c>
      <c r="O72" s="7" t="s">
        <v>60</v>
      </c>
      <c r="P72" s="14">
        <v>22</v>
      </c>
      <c r="Q72" s="14">
        <v>775</v>
      </c>
      <c r="R72" s="14">
        <v>16</v>
      </c>
      <c r="S72" s="17">
        <v>11.440781823761199</v>
      </c>
      <c r="T72" s="7" t="s">
        <v>72</v>
      </c>
      <c r="U72" s="4">
        <v>1.8305755986122301</v>
      </c>
      <c r="V72" s="7" t="s">
        <v>38</v>
      </c>
      <c r="W72" s="7" t="s">
        <v>48</v>
      </c>
      <c r="X72" s="17">
        <v>183.27289874871099</v>
      </c>
      <c r="Y72" s="17">
        <f t="shared" si="0"/>
        <v>6813.8585888763073</v>
      </c>
      <c r="Z72" s="23">
        <f t="shared" si="4"/>
        <v>0.97134246495542154</v>
      </c>
      <c r="AA72" s="3">
        <f t="shared" si="6"/>
        <v>3.2</v>
      </c>
      <c r="AB72">
        <f t="shared" si="5"/>
        <v>1</v>
      </c>
    </row>
    <row r="73" spans="1:28" x14ac:dyDescent="0.25">
      <c r="A73" s="7" t="s">
        <v>66</v>
      </c>
      <c r="B73" s="7" t="s">
        <v>133</v>
      </c>
      <c r="C73" s="10">
        <v>6.3815331627479601</v>
      </c>
      <c r="D73" s="3">
        <v>14</v>
      </c>
      <c r="E73" s="14">
        <v>637</v>
      </c>
      <c r="F73" s="17">
        <v>8180.3370854254399</v>
      </c>
      <c r="G73" s="7" t="s">
        <v>42</v>
      </c>
      <c r="H73" s="14">
        <v>76</v>
      </c>
      <c r="I73" s="14">
        <v>2</v>
      </c>
      <c r="J73" s="14">
        <v>26</v>
      </c>
      <c r="K73" s="14">
        <v>6</v>
      </c>
      <c r="L73" s="7" t="s">
        <v>43</v>
      </c>
      <c r="M73" s="17">
        <v>9.2281903170525101</v>
      </c>
      <c r="N73" s="7" t="s">
        <v>62</v>
      </c>
      <c r="O73" s="7" t="s">
        <v>60</v>
      </c>
      <c r="P73" s="14">
        <v>2</v>
      </c>
      <c r="Q73" s="14">
        <v>258</v>
      </c>
      <c r="R73" s="14">
        <v>10</v>
      </c>
      <c r="S73" s="17">
        <v>30.661677477859499</v>
      </c>
      <c r="T73" s="7" t="s">
        <v>37</v>
      </c>
      <c r="U73" s="4">
        <v>2.07875060787496</v>
      </c>
      <c r="V73" s="7" t="s">
        <v>38</v>
      </c>
      <c r="W73" s="7" t="s">
        <v>55</v>
      </c>
      <c r="X73" s="17">
        <v>405.167067888855</v>
      </c>
      <c r="Y73" s="17">
        <f t="shared" si="0"/>
        <v>7735.2801497416731</v>
      </c>
      <c r="Z73" s="23">
        <f t="shared" si="4"/>
        <v>0.94559430362879471</v>
      </c>
      <c r="AA73" s="3">
        <f t="shared" si="6"/>
        <v>8.3815789473684212</v>
      </c>
      <c r="AB73">
        <f t="shared" si="5"/>
        <v>0</v>
      </c>
    </row>
    <row r="74" spans="1:28" x14ac:dyDescent="0.25">
      <c r="A74" s="7" t="s">
        <v>66</v>
      </c>
      <c r="B74" s="7" t="s">
        <v>134</v>
      </c>
      <c r="C74" s="10">
        <v>90.204427520528</v>
      </c>
      <c r="D74" s="3">
        <v>88</v>
      </c>
      <c r="E74" s="14">
        <v>478</v>
      </c>
      <c r="F74" s="17">
        <v>2633.1219813122502</v>
      </c>
      <c r="G74" s="7" t="s">
        <v>33</v>
      </c>
      <c r="H74" s="14">
        <v>57</v>
      </c>
      <c r="I74" s="14">
        <v>29</v>
      </c>
      <c r="J74" s="14">
        <v>77</v>
      </c>
      <c r="K74" s="14">
        <v>9</v>
      </c>
      <c r="L74" s="7" t="s">
        <v>43</v>
      </c>
      <c r="M74" s="17">
        <v>6.5996141596895397</v>
      </c>
      <c r="N74" s="7" t="s">
        <v>46</v>
      </c>
      <c r="O74" s="7" t="s">
        <v>60</v>
      </c>
      <c r="P74" s="14">
        <v>21</v>
      </c>
      <c r="Q74" s="14">
        <v>152</v>
      </c>
      <c r="R74" s="14">
        <v>11</v>
      </c>
      <c r="S74" s="17">
        <v>55.760492895244198</v>
      </c>
      <c r="T74" s="7" t="s">
        <v>37</v>
      </c>
      <c r="U74" s="4">
        <v>3.2133296074383</v>
      </c>
      <c r="V74" s="7" t="s">
        <v>54</v>
      </c>
      <c r="W74" s="7" t="s">
        <v>39</v>
      </c>
      <c r="X74" s="17">
        <v>677.94456984618296</v>
      </c>
      <c r="Y74" s="17">
        <f t="shared" si="0"/>
        <v>1892.8173044111334</v>
      </c>
      <c r="Z74" s="23">
        <f t="shared" si="4"/>
        <v>0.71884907643656659</v>
      </c>
      <c r="AA74" s="3">
        <f t="shared" si="6"/>
        <v>8.3859649122807021</v>
      </c>
      <c r="AB74">
        <f t="shared" si="5"/>
        <v>0</v>
      </c>
    </row>
    <row r="75" spans="1:28" x14ac:dyDescent="0.25">
      <c r="A75" s="7" t="s">
        <v>66</v>
      </c>
      <c r="B75" s="7" t="s">
        <v>135</v>
      </c>
      <c r="C75" s="10">
        <v>83.851017681304597</v>
      </c>
      <c r="D75" s="3">
        <v>41</v>
      </c>
      <c r="E75" s="14">
        <v>375</v>
      </c>
      <c r="F75" s="17">
        <v>7910.8869161406801</v>
      </c>
      <c r="G75" s="7" t="s">
        <v>63</v>
      </c>
      <c r="H75" s="14">
        <v>17</v>
      </c>
      <c r="I75" s="14">
        <v>25</v>
      </c>
      <c r="J75" s="14">
        <v>66</v>
      </c>
      <c r="K75" s="14">
        <v>5</v>
      </c>
      <c r="L75" s="7" t="s">
        <v>34</v>
      </c>
      <c r="M75" s="17">
        <v>1.5129368369160701</v>
      </c>
      <c r="N75" s="7" t="s">
        <v>59</v>
      </c>
      <c r="O75" s="7" t="s">
        <v>70</v>
      </c>
      <c r="P75" s="14">
        <v>13</v>
      </c>
      <c r="Q75" s="14">
        <v>444</v>
      </c>
      <c r="R75" s="14">
        <v>4</v>
      </c>
      <c r="S75" s="17">
        <v>46.870238797617098</v>
      </c>
      <c r="T75" s="7" t="s">
        <v>53</v>
      </c>
      <c r="U75" s="4">
        <v>4.6205460645137002</v>
      </c>
      <c r="V75" s="7" t="s">
        <v>38</v>
      </c>
      <c r="W75" s="7" t="s">
        <v>55</v>
      </c>
      <c r="X75" s="17">
        <v>866.472800129657</v>
      </c>
      <c r="Y75" s="17">
        <f t="shared" si="0"/>
        <v>6996.0309403764895</v>
      </c>
      <c r="Z75" s="23">
        <f t="shared" si="4"/>
        <v>0.88435481565314777</v>
      </c>
      <c r="AA75" s="3">
        <f t="shared" si="6"/>
        <v>22.058823529411764</v>
      </c>
      <c r="AB75">
        <f t="shared" si="5"/>
        <v>0</v>
      </c>
    </row>
    <row r="76" spans="1:28" x14ac:dyDescent="0.25">
      <c r="A76" s="7" t="s">
        <v>31</v>
      </c>
      <c r="B76" s="7" t="s">
        <v>136</v>
      </c>
      <c r="C76" s="10">
        <v>3.1700114135661499</v>
      </c>
      <c r="D76" s="3">
        <v>64</v>
      </c>
      <c r="E76" s="14">
        <v>904</v>
      </c>
      <c r="F76" s="17">
        <v>5709.9452959692799</v>
      </c>
      <c r="G76" s="7" t="s">
        <v>42</v>
      </c>
      <c r="H76" s="14">
        <v>41</v>
      </c>
      <c r="I76" s="14">
        <v>6</v>
      </c>
      <c r="J76" s="14">
        <v>1</v>
      </c>
      <c r="K76" s="14">
        <v>5</v>
      </c>
      <c r="L76" s="7" t="s">
        <v>43</v>
      </c>
      <c r="M76" s="17">
        <v>5.2376546500374399</v>
      </c>
      <c r="N76" s="7" t="s">
        <v>59</v>
      </c>
      <c r="O76" s="7" t="s">
        <v>57</v>
      </c>
      <c r="P76" s="14">
        <v>1</v>
      </c>
      <c r="Q76" s="14">
        <v>919</v>
      </c>
      <c r="R76" s="14">
        <v>9</v>
      </c>
      <c r="S76" s="17">
        <v>80.580852156447804</v>
      </c>
      <c r="T76" s="7" t="s">
        <v>53</v>
      </c>
      <c r="U76" s="4">
        <v>0.39661272410993498</v>
      </c>
      <c r="V76" s="7" t="s">
        <v>54</v>
      </c>
      <c r="W76" s="7" t="s">
        <v>55</v>
      </c>
      <c r="X76" s="17">
        <v>341.55265678322297</v>
      </c>
      <c r="Y76" s="17">
        <f t="shared" si="0"/>
        <v>5282.5741323795719</v>
      </c>
      <c r="Z76" s="23">
        <f t="shared" si="4"/>
        <v>0.92515319474402069</v>
      </c>
      <c r="AA76" s="3">
        <f t="shared" si="6"/>
        <v>22.048780487804876</v>
      </c>
      <c r="AB76">
        <f t="shared" si="5"/>
        <v>0</v>
      </c>
    </row>
    <row r="77" spans="1:28" x14ac:dyDescent="0.25">
      <c r="A77" s="7" t="s">
        <v>40</v>
      </c>
      <c r="B77" s="7" t="s">
        <v>137</v>
      </c>
      <c r="C77" s="10">
        <v>92.996884233970604</v>
      </c>
      <c r="D77" s="3">
        <v>29</v>
      </c>
      <c r="E77" s="14">
        <v>106</v>
      </c>
      <c r="F77" s="17">
        <v>1889.07358977933</v>
      </c>
      <c r="G77" s="7" t="s">
        <v>33</v>
      </c>
      <c r="H77" s="14">
        <v>16</v>
      </c>
      <c r="I77" s="14">
        <v>20</v>
      </c>
      <c r="J77" s="14">
        <v>56</v>
      </c>
      <c r="K77" s="14">
        <v>10</v>
      </c>
      <c r="L77" s="7" t="s">
        <v>50</v>
      </c>
      <c r="M77" s="17">
        <v>2.47389776104546</v>
      </c>
      <c r="N77" s="7" t="s">
        <v>46</v>
      </c>
      <c r="O77" s="7" t="s">
        <v>70</v>
      </c>
      <c r="P77" s="14">
        <v>25</v>
      </c>
      <c r="Q77" s="14">
        <v>759</v>
      </c>
      <c r="R77" s="14">
        <v>11</v>
      </c>
      <c r="S77" s="17">
        <v>48.064782640006499</v>
      </c>
      <c r="T77" s="7" t="s">
        <v>72</v>
      </c>
      <c r="U77" s="4">
        <v>2.0300690886687498</v>
      </c>
      <c r="V77" s="7" t="s">
        <v>47</v>
      </c>
      <c r="W77" s="7" t="s">
        <v>48</v>
      </c>
      <c r="X77" s="17">
        <v>873.12964801765099</v>
      </c>
      <c r="Y77" s="17">
        <f t="shared" si="0"/>
        <v>965.40526136062704</v>
      </c>
      <c r="Z77" s="23">
        <f t="shared" si="4"/>
        <v>0.51104693146093894</v>
      </c>
      <c r="AA77" s="3">
        <f t="shared" si="6"/>
        <v>6.625</v>
      </c>
      <c r="AB77">
        <f t="shared" si="5"/>
        <v>1</v>
      </c>
    </row>
    <row r="78" spans="1:28" x14ac:dyDescent="0.25">
      <c r="A78" s="7" t="s">
        <v>31</v>
      </c>
      <c r="B78" s="7" t="s">
        <v>138</v>
      </c>
      <c r="C78" s="10">
        <v>69.108799547430294</v>
      </c>
      <c r="D78" s="3">
        <v>23</v>
      </c>
      <c r="E78" s="14">
        <v>241</v>
      </c>
      <c r="F78" s="17">
        <v>5328.3759842977497</v>
      </c>
      <c r="G78" s="7" t="s">
        <v>63</v>
      </c>
      <c r="H78" s="14">
        <v>38</v>
      </c>
      <c r="I78" s="14">
        <v>1</v>
      </c>
      <c r="J78" s="14">
        <v>22</v>
      </c>
      <c r="K78" s="14">
        <v>10</v>
      </c>
      <c r="L78" s="7" t="s">
        <v>43</v>
      </c>
      <c r="M78" s="17">
        <v>7.0545383368369201</v>
      </c>
      <c r="N78" s="7" t="s">
        <v>62</v>
      </c>
      <c r="O78" s="7" t="s">
        <v>60</v>
      </c>
      <c r="P78" s="14">
        <v>25</v>
      </c>
      <c r="Q78" s="14">
        <v>985</v>
      </c>
      <c r="R78" s="14">
        <v>24</v>
      </c>
      <c r="S78" s="17">
        <v>64.323597795600193</v>
      </c>
      <c r="T78" s="7" t="s">
        <v>37</v>
      </c>
      <c r="U78" s="4">
        <v>2.1800374515822099</v>
      </c>
      <c r="V78" s="7" t="s">
        <v>54</v>
      </c>
      <c r="W78" s="7" t="s">
        <v>55</v>
      </c>
      <c r="X78" s="17">
        <v>997.41345013319403</v>
      </c>
      <c r="Y78" s="17">
        <f t="shared" si="0"/>
        <v>4259.5843980321188</v>
      </c>
      <c r="Z78" s="23">
        <f t="shared" si="4"/>
        <v>0.79941513335108771</v>
      </c>
      <c r="AA78" s="3">
        <f t="shared" si="6"/>
        <v>6.3421052631578947</v>
      </c>
      <c r="AB78">
        <f t="shared" si="5"/>
        <v>0</v>
      </c>
    </row>
    <row r="79" spans="1:28" x14ac:dyDescent="0.25">
      <c r="A79" s="7" t="s">
        <v>31</v>
      </c>
      <c r="B79" s="7" t="s">
        <v>139</v>
      </c>
      <c r="C79" s="10">
        <v>57.449742958971399</v>
      </c>
      <c r="D79" s="3">
        <v>14</v>
      </c>
      <c r="E79" s="14">
        <v>359</v>
      </c>
      <c r="F79" s="17">
        <v>2483.7601775427902</v>
      </c>
      <c r="G79" s="7" t="s">
        <v>45</v>
      </c>
      <c r="H79" s="14">
        <v>96</v>
      </c>
      <c r="I79" s="14">
        <v>28</v>
      </c>
      <c r="J79" s="14">
        <v>57</v>
      </c>
      <c r="K79" s="14">
        <v>4</v>
      </c>
      <c r="L79" s="7" t="s">
        <v>34</v>
      </c>
      <c r="M79" s="17">
        <v>6.7809466256178901</v>
      </c>
      <c r="N79" s="7" t="s">
        <v>46</v>
      </c>
      <c r="O79" s="7" t="s">
        <v>52</v>
      </c>
      <c r="P79" s="14">
        <v>26</v>
      </c>
      <c r="Q79" s="14">
        <v>334</v>
      </c>
      <c r="R79" s="14">
        <v>5</v>
      </c>
      <c r="S79" s="17">
        <v>42.952444748991802</v>
      </c>
      <c r="T79" s="7" t="s">
        <v>72</v>
      </c>
      <c r="U79" s="4">
        <v>3.0551418183075398</v>
      </c>
      <c r="V79" s="7" t="s">
        <v>38</v>
      </c>
      <c r="W79" s="7" t="s">
        <v>39</v>
      </c>
      <c r="X79" s="17">
        <v>852.56809891984994</v>
      </c>
      <c r="Y79" s="17">
        <f t="shared" si="0"/>
        <v>1581.4586872483303</v>
      </c>
      <c r="Z79" s="23">
        <f t="shared" si="4"/>
        <v>0.63671955994273322</v>
      </c>
      <c r="AA79" s="3">
        <f t="shared" si="6"/>
        <v>3.7395833333333335</v>
      </c>
      <c r="AB79">
        <f t="shared" si="5"/>
        <v>1</v>
      </c>
    </row>
    <row r="80" spans="1:28" x14ac:dyDescent="0.25">
      <c r="A80" s="7" t="s">
        <v>31</v>
      </c>
      <c r="B80" s="7" t="s">
        <v>140</v>
      </c>
      <c r="C80" s="10">
        <v>6.30688317611191</v>
      </c>
      <c r="D80" s="3">
        <v>50</v>
      </c>
      <c r="E80" s="14">
        <v>946</v>
      </c>
      <c r="F80" s="17">
        <v>1292.45841793775</v>
      </c>
      <c r="G80" s="7" t="s">
        <v>45</v>
      </c>
      <c r="H80" s="14">
        <v>5</v>
      </c>
      <c r="I80" s="14">
        <v>4</v>
      </c>
      <c r="J80" s="14">
        <v>51</v>
      </c>
      <c r="K80" s="14">
        <v>5</v>
      </c>
      <c r="L80" s="7" t="s">
        <v>34</v>
      </c>
      <c r="M80" s="17">
        <v>8.4670497708619905</v>
      </c>
      <c r="N80" s="7" t="s">
        <v>51</v>
      </c>
      <c r="O80" s="7" t="s">
        <v>36</v>
      </c>
      <c r="P80" s="14">
        <v>25</v>
      </c>
      <c r="Q80" s="14">
        <v>858</v>
      </c>
      <c r="R80" s="14">
        <v>21</v>
      </c>
      <c r="S80" s="17">
        <v>71.126514720403307</v>
      </c>
      <c r="T80" s="7" t="s">
        <v>37</v>
      </c>
      <c r="U80" s="4">
        <v>4.0968813324704501</v>
      </c>
      <c r="V80" s="7" t="s">
        <v>65</v>
      </c>
      <c r="W80" s="7" t="s">
        <v>48</v>
      </c>
      <c r="X80" s="17">
        <v>323.59220343132199</v>
      </c>
      <c r="Y80" s="17">
        <f t="shared" si="0"/>
        <v>889.27265001516287</v>
      </c>
      <c r="Z80" s="23">
        <f t="shared" si="4"/>
        <v>0.68804739686255334</v>
      </c>
      <c r="AA80" s="3">
        <f t="shared" si="6"/>
        <v>189.2</v>
      </c>
      <c r="AB80">
        <f t="shared" si="5"/>
        <v>0</v>
      </c>
    </row>
    <row r="81" spans="1:28" x14ac:dyDescent="0.25">
      <c r="A81" s="7" t="s">
        <v>31</v>
      </c>
      <c r="B81" s="7" t="s">
        <v>141</v>
      </c>
      <c r="C81" s="10">
        <v>57.057031221103202</v>
      </c>
      <c r="D81" s="3">
        <v>56</v>
      </c>
      <c r="E81" s="14">
        <v>198</v>
      </c>
      <c r="F81" s="17">
        <v>7888.7232684270803</v>
      </c>
      <c r="G81" s="7" t="s">
        <v>33</v>
      </c>
      <c r="H81" s="14">
        <v>31</v>
      </c>
      <c r="I81" s="14">
        <v>25</v>
      </c>
      <c r="J81" s="14">
        <v>20</v>
      </c>
      <c r="K81" s="14">
        <v>1</v>
      </c>
      <c r="L81" s="7" t="s">
        <v>34</v>
      </c>
      <c r="M81" s="17">
        <v>6.49632536429504</v>
      </c>
      <c r="N81" s="7" t="s">
        <v>35</v>
      </c>
      <c r="O81" s="7" t="s">
        <v>60</v>
      </c>
      <c r="P81" s="14">
        <v>5</v>
      </c>
      <c r="Q81" s="14">
        <v>228</v>
      </c>
      <c r="R81" s="14">
        <v>12</v>
      </c>
      <c r="S81" s="17">
        <v>57.870902924036201</v>
      </c>
      <c r="T81" s="7" t="s">
        <v>37</v>
      </c>
      <c r="U81" s="4">
        <v>0.16587162748060799</v>
      </c>
      <c r="V81" s="7" t="s">
        <v>47</v>
      </c>
      <c r="W81" s="7" t="s">
        <v>48</v>
      </c>
      <c r="X81" s="17">
        <v>351.50421933503799</v>
      </c>
      <c r="Y81" s="17">
        <f t="shared" si="0"/>
        <v>7472.8518208037103</v>
      </c>
      <c r="Z81" s="23">
        <f t="shared" si="4"/>
        <v>0.94728279425292983</v>
      </c>
      <c r="AA81" s="3">
        <f t="shared" si="6"/>
        <v>6.387096774193548</v>
      </c>
      <c r="AB81">
        <f t="shared" si="5"/>
        <v>0</v>
      </c>
    </row>
    <row r="82" spans="1:28" x14ac:dyDescent="0.25">
      <c r="A82" s="7" t="s">
        <v>40</v>
      </c>
      <c r="B82" s="7" t="s">
        <v>142</v>
      </c>
      <c r="C82" s="10">
        <v>91.128318350444303</v>
      </c>
      <c r="D82" s="3">
        <v>75</v>
      </c>
      <c r="E82" s="14">
        <v>872</v>
      </c>
      <c r="F82" s="17">
        <v>8651.67268298206</v>
      </c>
      <c r="G82" s="7" t="s">
        <v>45</v>
      </c>
      <c r="H82" s="14">
        <v>39</v>
      </c>
      <c r="I82" s="14">
        <v>14</v>
      </c>
      <c r="J82" s="14">
        <v>41</v>
      </c>
      <c r="K82" s="14">
        <v>2</v>
      </c>
      <c r="L82" s="7" t="s">
        <v>50</v>
      </c>
      <c r="M82" s="17">
        <v>2.8331846794189701</v>
      </c>
      <c r="N82" s="7" t="s">
        <v>35</v>
      </c>
      <c r="O82" s="7" t="s">
        <v>70</v>
      </c>
      <c r="P82" s="14">
        <v>8</v>
      </c>
      <c r="Q82" s="14">
        <v>202</v>
      </c>
      <c r="R82" s="14">
        <v>5</v>
      </c>
      <c r="S82" s="17">
        <v>76.961228023819999</v>
      </c>
      <c r="T82" s="7" t="s">
        <v>53</v>
      </c>
      <c r="U82" s="4">
        <v>2.8496621985053299</v>
      </c>
      <c r="V82" s="7" t="s">
        <v>65</v>
      </c>
      <c r="W82" s="7" t="s">
        <v>39</v>
      </c>
      <c r="X82" s="17">
        <v>787.77985049434403</v>
      </c>
      <c r="Y82" s="17">
        <f t="shared" si="0"/>
        <v>7784.0984197844773</v>
      </c>
      <c r="Z82" s="23">
        <f t="shared" si="4"/>
        <v>0.8997217884925176</v>
      </c>
      <c r="AA82" s="3">
        <f t="shared" si="6"/>
        <v>22.358974358974358</v>
      </c>
      <c r="AB82">
        <f t="shared" si="5"/>
        <v>0</v>
      </c>
    </row>
    <row r="83" spans="1:28" x14ac:dyDescent="0.25">
      <c r="A83" s="7" t="s">
        <v>31</v>
      </c>
      <c r="B83" s="7" t="s">
        <v>143</v>
      </c>
      <c r="C83" s="10">
        <v>72.819206930318202</v>
      </c>
      <c r="D83" s="3">
        <v>9</v>
      </c>
      <c r="E83" s="14">
        <v>774</v>
      </c>
      <c r="F83" s="17">
        <v>4384.4134000458598</v>
      </c>
      <c r="G83" s="7" t="s">
        <v>45</v>
      </c>
      <c r="H83" s="14">
        <v>48</v>
      </c>
      <c r="I83" s="14">
        <v>6</v>
      </c>
      <c r="J83" s="14">
        <v>8</v>
      </c>
      <c r="K83" s="14">
        <v>5</v>
      </c>
      <c r="L83" s="7" t="s">
        <v>34</v>
      </c>
      <c r="M83" s="17">
        <v>4.0662775015120403</v>
      </c>
      <c r="N83" s="7" t="s">
        <v>35</v>
      </c>
      <c r="O83" s="7" t="s">
        <v>57</v>
      </c>
      <c r="P83" s="14">
        <v>28</v>
      </c>
      <c r="Q83" s="14">
        <v>698</v>
      </c>
      <c r="R83" s="14">
        <v>1</v>
      </c>
      <c r="S83" s="17">
        <v>19.789592941903599</v>
      </c>
      <c r="T83" s="7" t="s">
        <v>37</v>
      </c>
      <c r="U83" s="4">
        <v>2.54754712154871</v>
      </c>
      <c r="V83" s="7" t="s">
        <v>54</v>
      </c>
      <c r="W83" s="7" t="s">
        <v>39</v>
      </c>
      <c r="X83" s="17">
        <v>276.77833594679799</v>
      </c>
      <c r="Y83" s="17">
        <f t="shared" si="0"/>
        <v>4083.7791936556468</v>
      </c>
      <c r="Z83" s="23">
        <f t="shared" si="4"/>
        <v>0.93143114506787417</v>
      </c>
      <c r="AA83" s="3">
        <f t="shared" si="6"/>
        <v>16.125</v>
      </c>
      <c r="AB83">
        <f t="shared" si="5"/>
        <v>0</v>
      </c>
    </row>
    <row r="84" spans="1:28" x14ac:dyDescent="0.25">
      <c r="A84" s="7" t="s">
        <v>40</v>
      </c>
      <c r="B84" s="7" t="s">
        <v>144</v>
      </c>
      <c r="C84" s="10">
        <v>17.034930739467899</v>
      </c>
      <c r="D84" s="3">
        <v>13</v>
      </c>
      <c r="E84" s="14">
        <v>336</v>
      </c>
      <c r="F84" s="17">
        <v>2943.3818676094502</v>
      </c>
      <c r="G84" s="7" t="s">
        <v>45</v>
      </c>
      <c r="H84" s="14">
        <v>42</v>
      </c>
      <c r="I84" s="14">
        <v>19</v>
      </c>
      <c r="J84" s="14">
        <v>72</v>
      </c>
      <c r="K84" s="14">
        <v>1</v>
      </c>
      <c r="L84" s="7" t="s">
        <v>43</v>
      </c>
      <c r="M84" s="17">
        <v>4.7081818735419301</v>
      </c>
      <c r="N84" s="7" t="s">
        <v>62</v>
      </c>
      <c r="O84" s="7" t="s">
        <v>36</v>
      </c>
      <c r="P84" s="14">
        <v>6</v>
      </c>
      <c r="Q84" s="14">
        <v>955</v>
      </c>
      <c r="R84" s="14">
        <v>26</v>
      </c>
      <c r="S84" s="17">
        <v>4.4652784349432402</v>
      </c>
      <c r="T84" s="7" t="s">
        <v>37</v>
      </c>
      <c r="U84" s="4">
        <v>4.1378770486223502</v>
      </c>
      <c r="V84" s="7" t="s">
        <v>38</v>
      </c>
      <c r="W84" s="7" t="s">
        <v>48</v>
      </c>
      <c r="X84" s="17">
        <v>589.97855562804</v>
      </c>
      <c r="Y84" s="17">
        <f t="shared" si="0"/>
        <v>2344.2298516729252</v>
      </c>
      <c r="Z84" s="23">
        <f t="shared" si="4"/>
        <v>0.79644095027902617</v>
      </c>
      <c r="AA84" s="3">
        <f t="shared" si="6"/>
        <v>8</v>
      </c>
      <c r="AB84">
        <f t="shared" si="5"/>
        <v>0</v>
      </c>
    </row>
    <row r="85" spans="1:28" x14ac:dyDescent="0.25">
      <c r="A85" s="7" t="s">
        <v>31</v>
      </c>
      <c r="B85" s="7" t="s">
        <v>145</v>
      </c>
      <c r="C85" s="10">
        <v>68.911246211606297</v>
      </c>
      <c r="D85" s="3">
        <v>82</v>
      </c>
      <c r="E85" s="14">
        <v>663</v>
      </c>
      <c r="F85" s="17">
        <v>2411.7546321104901</v>
      </c>
      <c r="G85" s="7" t="s">
        <v>45</v>
      </c>
      <c r="H85" s="14">
        <v>65</v>
      </c>
      <c r="I85" s="14">
        <v>24</v>
      </c>
      <c r="J85" s="14">
        <v>7</v>
      </c>
      <c r="K85" s="14">
        <v>8</v>
      </c>
      <c r="L85" s="7" t="s">
        <v>34</v>
      </c>
      <c r="M85" s="17">
        <v>4.94983957799694</v>
      </c>
      <c r="N85" s="7" t="s">
        <v>46</v>
      </c>
      <c r="O85" s="7" t="s">
        <v>60</v>
      </c>
      <c r="P85" s="14">
        <v>20</v>
      </c>
      <c r="Q85" s="14">
        <v>443</v>
      </c>
      <c r="R85" s="14">
        <v>5</v>
      </c>
      <c r="S85" s="17">
        <v>97.730593800533001</v>
      </c>
      <c r="T85" s="7" t="s">
        <v>53</v>
      </c>
      <c r="U85" s="4">
        <v>0.77300613406724705</v>
      </c>
      <c r="V85" s="7" t="s">
        <v>38</v>
      </c>
      <c r="W85" s="7" t="s">
        <v>55</v>
      </c>
      <c r="X85" s="17">
        <v>682.97101822609295</v>
      </c>
      <c r="Y85" s="17">
        <f t="shared" si="0"/>
        <v>1626.1031805058674</v>
      </c>
      <c r="Z85" s="23">
        <f t="shared" si="4"/>
        <v>0.67424072036834404</v>
      </c>
      <c r="AA85" s="3">
        <f t="shared" si="6"/>
        <v>10.199999999999999</v>
      </c>
      <c r="AB85">
        <f t="shared" si="5"/>
        <v>0</v>
      </c>
    </row>
    <row r="86" spans="1:28" x14ac:dyDescent="0.25">
      <c r="A86" s="7" t="s">
        <v>31</v>
      </c>
      <c r="B86" s="7" t="s">
        <v>146</v>
      </c>
      <c r="C86" s="10">
        <v>89.104367292102197</v>
      </c>
      <c r="D86" s="3">
        <v>99</v>
      </c>
      <c r="E86" s="14">
        <v>618</v>
      </c>
      <c r="F86" s="17">
        <v>2048.2900998487098</v>
      </c>
      <c r="G86" s="7" t="s">
        <v>45</v>
      </c>
      <c r="H86" s="14">
        <v>73</v>
      </c>
      <c r="I86" s="14">
        <v>26</v>
      </c>
      <c r="J86" s="14">
        <v>80</v>
      </c>
      <c r="K86" s="14">
        <v>10</v>
      </c>
      <c r="L86" s="7" t="s">
        <v>43</v>
      </c>
      <c r="M86" s="17">
        <v>8.3816156249226292</v>
      </c>
      <c r="N86" s="7" t="s">
        <v>51</v>
      </c>
      <c r="O86" s="7" t="s">
        <v>70</v>
      </c>
      <c r="P86" s="14">
        <v>24</v>
      </c>
      <c r="Q86" s="14">
        <v>589</v>
      </c>
      <c r="R86" s="14">
        <v>22</v>
      </c>
      <c r="S86" s="17">
        <v>33.808636513209002</v>
      </c>
      <c r="T86" s="7" t="s">
        <v>72</v>
      </c>
      <c r="U86" s="4">
        <v>4.8434565771180402</v>
      </c>
      <c r="V86" s="7" t="s">
        <v>47</v>
      </c>
      <c r="W86" s="7" t="s">
        <v>39</v>
      </c>
      <c r="X86" s="17">
        <v>465.45700596368698</v>
      </c>
      <c r="Y86" s="17">
        <f t="shared" si="0"/>
        <v>1540.6428417468912</v>
      </c>
      <c r="Z86" s="23">
        <f t="shared" si="4"/>
        <v>0.7521604688030693</v>
      </c>
      <c r="AA86" s="3">
        <f t="shared" si="6"/>
        <v>8.4657534246575334</v>
      </c>
      <c r="AB86">
        <f t="shared" si="5"/>
        <v>1</v>
      </c>
    </row>
    <row r="87" spans="1:28" x14ac:dyDescent="0.25">
      <c r="A87" s="7" t="s">
        <v>66</v>
      </c>
      <c r="B87" s="7" t="s">
        <v>147</v>
      </c>
      <c r="C87" s="10">
        <v>76.962994415193805</v>
      </c>
      <c r="D87" s="3">
        <v>83</v>
      </c>
      <c r="E87" s="14">
        <v>25</v>
      </c>
      <c r="F87" s="17">
        <v>8684.6130592538502</v>
      </c>
      <c r="G87" s="7" t="s">
        <v>42</v>
      </c>
      <c r="H87" s="14">
        <v>15</v>
      </c>
      <c r="I87" s="14">
        <v>18</v>
      </c>
      <c r="J87" s="14">
        <v>66</v>
      </c>
      <c r="K87" s="14">
        <v>2</v>
      </c>
      <c r="L87" s="7" t="s">
        <v>50</v>
      </c>
      <c r="M87" s="17">
        <v>8.2491687048717193</v>
      </c>
      <c r="N87" s="7" t="s">
        <v>51</v>
      </c>
      <c r="O87" s="7" t="s">
        <v>70</v>
      </c>
      <c r="P87" s="14">
        <v>4</v>
      </c>
      <c r="Q87" s="14">
        <v>211</v>
      </c>
      <c r="R87" s="14">
        <v>2</v>
      </c>
      <c r="S87" s="17">
        <v>69.929345518672307</v>
      </c>
      <c r="T87" s="7" t="s">
        <v>53</v>
      </c>
      <c r="U87" s="4">
        <v>1.3744289997457499</v>
      </c>
      <c r="V87" s="7" t="s">
        <v>38</v>
      </c>
      <c r="W87" s="7" t="s">
        <v>39</v>
      </c>
      <c r="X87" s="17">
        <v>842.68683000464102</v>
      </c>
      <c r="Y87" s="17">
        <f t="shared" si="0"/>
        <v>7763.7477150256655</v>
      </c>
      <c r="Z87" s="23">
        <f t="shared" si="4"/>
        <v>0.89396587528479909</v>
      </c>
      <c r="AA87" s="3">
        <f t="shared" si="6"/>
        <v>1.6666666666666667</v>
      </c>
      <c r="AB87">
        <f t="shared" si="5"/>
        <v>0</v>
      </c>
    </row>
    <row r="88" spans="1:28" x14ac:dyDescent="0.25">
      <c r="A88" s="7" t="s">
        <v>40</v>
      </c>
      <c r="B88" s="7" t="s">
        <v>148</v>
      </c>
      <c r="C88" s="10">
        <v>19.9981769404042</v>
      </c>
      <c r="D88" s="3">
        <v>18</v>
      </c>
      <c r="E88" s="14">
        <v>223</v>
      </c>
      <c r="F88" s="17">
        <v>1229.59102856498</v>
      </c>
      <c r="G88" s="7" t="s">
        <v>45</v>
      </c>
      <c r="H88" s="14">
        <v>32</v>
      </c>
      <c r="I88" s="14">
        <v>14</v>
      </c>
      <c r="J88" s="14">
        <v>22</v>
      </c>
      <c r="K88" s="14">
        <v>6</v>
      </c>
      <c r="L88" s="7" t="s">
        <v>34</v>
      </c>
      <c r="M88" s="17">
        <v>1.4543053101535499</v>
      </c>
      <c r="N88" s="7" t="s">
        <v>46</v>
      </c>
      <c r="O88" s="7" t="s">
        <v>36</v>
      </c>
      <c r="P88" s="14">
        <v>4</v>
      </c>
      <c r="Q88" s="14">
        <v>569</v>
      </c>
      <c r="R88" s="14">
        <v>18</v>
      </c>
      <c r="S88" s="17">
        <v>74.608969995194599</v>
      </c>
      <c r="T88" s="7" t="s">
        <v>72</v>
      </c>
      <c r="U88" s="4">
        <v>2.0515129307662399</v>
      </c>
      <c r="V88" s="7" t="s">
        <v>54</v>
      </c>
      <c r="W88" s="7" t="s">
        <v>55</v>
      </c>
      <c r="X88" s="17">
        <v>264.25488983586598</v>
      </c>
      <c r="Y88" s="17">
        <f t="shared" si="0"/>
        <v>889.2728634237659</v>
      </c>
      <c r="Z88" s="23">
        <f t="shared" si="4"/>
        <v>0.72322653855209929</v>
      </c>
      <c r="AA88" s="3">
        <f t="shared" si="6"/>
        <v>6.96875</v>
      </c>
      <c r="AB88">
        <f t="shared" si="5"/>
        <v>1</v>
      </c>
    </row>
    <row r="89" spans="1:28" x14ac:dyDescent="0.25">
      <c r="A89" s="7" t="s">
        <v>31</v>
      </c>
      <c r="B89" s="7" t="s">
        <v>149</v>
      </c>
      <c r="C89" s="10">
        <v>80.414036650355698</v>
      </c>
      <c r="D89" s="3">
        <v>24</v>
      </c>
      <c r="E89" s="14">
        <v>79</v>
      </c>
      <c r="F89" s="17">
        <v>5133.8467010866898</v>
      </c>
      <c r="G89" s="7" t="s">
        <v>63</v>
      </c>
      <c r="H89" s="14">
        <v>5</v>
      </c>
      <c r="I89" s="14">
        <v>7</v>
      </c>
      <c r="J89" s="14">
        <v>55</v>
      </c>
      <c r="K89" s="14">
        <v>10</v>
      </c>
      <c r="L89" s="7" t="s">
        <v>43</v>
      </c>
      <c r="M89" s="17">
        <v>6.5758037975485299</v>
      </c>
      <c r="N89" s="7" t="s">
        <v>35</v>
      </c>
      <c r="O89" s="7" t="s">
        <v>70</v>
      </c>
      <c r="P89" s="14">
        <v>27</v>
      </c>
      <c r="Q89" s="14">
        <v>523</v>
      </c>
      <c r="R89" s="14">
        <v>17</v>
      </c>
      <c r="S89" s="17">
        <v>28.696996824143099</v>
      </c>
      <c r="T89" s="7" t="s">
        <v>53</v>
      </c>
      <c r="U89" s="4">
        <v>3.6937377878392699</v>
      </c>
      <c r="V89" s="7" t="s">
        <v>65</v>
      </c>
      <c r="W89" s="7" t="s">
        <v>39</v>
      </c>
      <c r="X89" s="17">
        <v>879.35921773492396</v>
      </c>
      <c r="Y89" s="17">
        <f t="shared" si="0"/>
        <v>4219.2146827300749</v>
      </c>
      <c r="Z89" s="23">
        <f t="shared" si="4"/>
        <v>0.82184274840871008</v>
      </c>
      <c r="AA89" s="3">
        <f t="shared" si="6"/>
        <v>15.8</v>
      </c>
      <c r="AB89">
        <f t="shared" si="5"/>
        <v>0</v>
      </c>
    </row>
    <row r="90" spans="1:28" x14ac:dyDescent="0.25">
      <c r="A90" s="7" t="s">
        <v>66</v>
      </c>
      <c r="B90" s="7" t="s">
        <v>150</v>
      </c>
      <c r="C90" s="10">
        <v>75.270406975724995</v>
      </c>
      <c r="D90" s="3">
        <v>58</v>
      </c>
      <c r="E90" s="14">
        <v>737</v>
      </c>
      <c r="F90" s="17">
        <v>9444.7420330629793</v>
      </c>
      <c r="G90" s="7" t="s">
        <v>63</v>
      </c>
      <c r="H90" s="14">
        <v>60</v>
      </c>
      <c r="I90" s="14">
        <v>18</v>
      </c>
      <c r="J90" s="14">
        <v>85</v>
      </c>
      <c r="K90" s="14">
        <v>7</v>
      </c>
      <c r="L90" s="7" t="s">
        <v>43</v>
      </c>
      <c r="M90" s="17">
        <v>3.8012531329310701</v>
      </c>
      <c r="N90" s="7" t="s">
        <v>62</v>
      </c>
      <c r="O90" s="7" t="s">
        <v>36</v>
      </c>
      <c r="P90" s="14">
        <v>21</v>
      </c>
      <c r="Q90" s="14">
        <v>953</v>
      </c>
      <c r="R90" s="14">
        <v>11</v>
      </c>
      <c r="S90" s="17">
        <v>68.1849190570411</v>
      </c>
      <c r="T90" s="7" t="s">
        <v>37</v>
      </c>
      <c r="U90" s="4">
        <v>0.722204401882931</v>
      </c>
      <c r="V90" s="7" t="s">
        <v>65</v>
      </c>
      <c r="W90" s="7" t="s">
        <v>55</v>
      </c>
      <c r="X90" s="17">
        <v>103.916247960704</v>
      </c>
      <c r="Y90" s="17">
        <f t="shared" si="0"/>
        <v>9268.839612912303</v>
      </c>
      <c r="Z90" s="23">
        <f t="shared" si="4"/>
        <v>0.98137562470897577</v>
      </c>
      <c r="AA90" s="3">
        <f t="shared" si="6"/>
        <v>12.283333333333333</v>
      </c>
      <c r="AB90">
        <f t="shared" si="5"/>
        <v>0</v>
      </c>
    </row>
    <row r="91" spans="1:28" x14ac:dyDescent="0.25">
      <c r="A91" s="7" t="s">
        <v>66</v>
      </c>
      <c r="B91" s="7" t="s">
        <v>151</v>
      </c>
      <c r="C91" s="10">
        <v>97.760085581938597</v>
      </c>
      <c r="D91" s="3">
        <v>10</v>
      </c>
      <c r="E91" s="14">
        <v>134</v>
      </c>
      <c r="F91" s="17">
        <v>5924.6825668532301</v>
      </c>
      <c r="G91" s="7" t="s">
        <v>45</v>
      </c>
      <c r="H91" s="14">
        <v>90</v>
      </c>
      <c r="I91" s="14">
        <v>1</v>
      </c>
      <c r="J91" s="14">
        <v>27</v>
      </c>
      <c r="K91" s="14">
        <v>8</v>
      </c>
      <c r="L91" s="7" t="s">
        <v>34</v>
      </c>
      <c r="M91" s="17">
        <v>9.9298162452772498</v>
      </c>
      <c r="N91" s="7" t="s">
        <v>46</v>
      </c>
      <c r="O91" s="7" t="s">
        <v>52</v>
      </c>
      <c r="P91" s="14">
        <v>23</v>
      </c>
      <c r="Q91" s="14">
        <v>370</v>
      </c>
      <c r="R91" s="14">
        <v>11</v>
      </c>
      <c r="S91" s="17">
        <v>46.603873381644398</v>
      </c>
      <c r="T91" s="7" t="s">
        <v>37</v>
      </c>
      <c r="U91" s="4">
        <v>1.9076657339590699</v>
      </c>
      <c r="V91" s="7" t="s">
        <v>54</v>
      </c>
      <c r="W91" s="7" t="s">
        <v>39</v>
      </c>
      <c r="X91" s="17">
        <v>517.49997392906005</v>
      </c>
      <c r="Y91" s="17">
        <f t="shared" si="0"/>
        <v>5350.6489032972495</v>
      </c>
      <c r="Z91" s="23">
        <f t="shared" si="4"/>
        <v>0.903111490433678</v>
      </c>
      <c r="AA91" s="3">
        <f t="shared" si="6"/>
        <v>1.4888888888888889</v>
      </c>
      <c r="AB91">
        <f t="shared" si="5"/>
        <v>0</v>
      </c>
    </row>
    <row r="92" spans="1:28" x14ac:dyDescent="0.25">
      <c r="A92" s="7" t="s">
        <v>40</v>
      </c>
      <c r="B92" s="7" t="s">
        <v>152</v>
      </c>
      <c r="C92" s="10">
        <v>13.881913501359101</v>
      </c>
      <c r="D92" s="3">
        <v>56</v>
      </c>
      <c r="E92" s="14">
        <v>320</v>
      </c>
      <c r="F92" s="17">
        <v>9592.6335702803099</v>
      </c>
      <c r="G92" s="7" t="s">
        <v>33</v>
      </c>
      <c r="H92" s="14">
        <v>66</v>
      </c>
      <c r="I92" s="14">
        <v>18</v>
      </c>
      <c r="J92" s="14">
        <v>96</v>
      </c>
      <c r="K92" s="14">
        <v>7</v>
      </c>
      <c r="L92" s="7" t="s">
        <v>34</v>
      </c>
      <c r="M92" s="17">
        <v>7.6744307081126903</v>
      </c>
      <c r="N92" s="7" t="s">
        <v>35</v>
      </c>
      <c r="O92" s="7" t="s">
        <v>60</v>
      </c>
      <c r="P92" s="14">
        <v>8</v>
      </c>
      <c r="Q92" s="14">
        <v>585</v>
      </c>
      <c r="R92" s="14">
        <v>8</v>
      </c>
      <c r="S92" s="17">
        <v>85.675963335797903</v>
      </c>
      <c r="T92" s="7" t="s">
        <v>72</v>
      </c>
      <c r="U92" s="4">
        <v>1.2193822244013801</v>
      </c>
      <c r="V92" s="7" t="s">
        <v>54</v>
      </c>
      <c r="W92" s="7" t="s">
        <v>39</v>
      </c>
      <c r="X92" s="17">
        <v>990.07847250581096</v>
      </c>
      <c r="Y92" s="17">
        <f t="shared" si="0"/>
        <v>8509.2047037305874</v>
      </c>
      <c r="Z92" s="23">
        <f t="shared" si="4"/>
        <v>0.88705616047855951</v>
      </c>
      <c r="AA92" s="3">
        <f t="shared" si="6"/>
        <v>4.8484848484848486</v>
      </c>
      <c r="AB92">
        <f t="shared" si="5"/>
        <v>1</v>
      </c>
    </row>
    <row r="93" spans="1:28" x14ac:dyDescent="0.25">
      <c r="A93" s="7" t="s">
        <v>66</v>
      </c>
      <c r="B93" s="7" t="s">
        <v>153</v>
      </c>
      <c r="C93" s="10">
        <v>62.111965463961702</v>
      </c>
      <c r="D93" s="3">
        <v>90</v>
      </c>
      <c r="E93" s="14">
        <v>916</v>
      </c>
      <c r="F93" s="17">
        <v>1935.20679350759</v>
      </c>
      <c r="G93" s="7" t="s">
        <v>63</v>
      </c>
      <c r="H93" s="14">
        <v>98</v>
      </c>
      <c r="I93" s="14">
        <v>22</v>
      </c>
      <c r="J93" s="14">
        <v>85</v>
      </c>
      <c r="K93" s="14">
        <v>7</v>
      </c>
      <c r="L93" s="7" t="s">
        <v>34</v>
      </c>
      <c r="M93" s="17">
        <v>7.4715140844011403</v>
      </c>
      <c r="N93" s="7" t="s">
        <v>59</v>
      </c>
      <c r="O93" s="7" t="s">
        <v>57</v>
      </c>
      <c r="P93" s="14">
        <v>5</v>
      </c>
      <c r="Q93" s="14">
        <v>207</v>
      </c>
      <c r="R93" s="14">
        <v>28</v>
      </c>
      <c r="S93" s="17">
        <v>39.772882502339897</v>
      </c>
      <c r="T93" s="7" t="s">
        <v>37</v>
      </c>
      <c r="U93" s="4">
        <v>0.62600185820939402</v>
      </c>
      <c r="V93" s="7" t="s">
        <v>54</v>
      </c>
      <c r="W93" s="7" t="s">
        <v>39</v>
      </c>
      <c r="X93" s="17">
        <v>996.77831495062298</v>
      </c>
      <c r="Y93" s="17">
        <f t="shared" si="0"/>
        <v>891.18408197022586</v>
      </c>
      <c r="Z93" s="23">
        <f t="shared" si="4"/>
        <v>0.46051103425228368</v>
      </c>
      <c r="AA93" s="3">
        <f t="shared" si="6"/>
        <v>9.3469387755102034</v>
      </c>
      <c r="AB93">
        <f t="shared" si="5"/>
        <v>0</v>
      </c>
    </row>
    <row r="94" spans="1:28" x14ac:dyDescent="0.25">
      <c r="A94" s="7" t="s">
        <v>66</v>
      </c>
      <c r="B94" s="7" t="s">
        <v>154</v>
      </c>
      <c r="C94" s="10">
        <v>47.714233075820196</v>
      </c>
      <c r="D94" s="3">
        <v>44</v>
      </c>
      <c r="E94" s="14">
        <v>276</v>
      </c>
      <c r="F94" s="17">
        <v>2100.1297546259302</v>
      </c>
      <c r="G94" s="7" t="s">
        <v>63</v>
      </c>
      <c r="H94" s="14">
        <v>90</v>
      </c>
      <c r="I94" s="14">
        <v>25</v>
      </c>
      <c r="J94" s="14">
        <v>10</v>
      </c>
      <c r="K94" s="14">
        <v>8</v>
      </c>
      <c r="L94" s="7" t="s">
        <v>34</v>
      </c>
      <c r="M94" s="17">
        <v>4.4695000261236002</v>
      </c>
      <c r="N94" s="7" t="s">
        <v>62</v>
      </c>
      <c r="O94" s="7" t="s">
        <v>36</v>
      </c>
      <c r="P94" s="14">
        <v>4</v>
      </c>
      <c r="Q94" s="14">
        <v>671</v>
      </c>
      <c r="R94" s="14">
        <v>29</v>
      </c>
      <c r="S94" s="17">
        <v>62.612690395614301</v>
      </c>
      <c r="T94" s="7" t="s">
        <v>72</v>
      </c>
      <c r="U94" s="4">
        <v>0.33343182522473902</v>
      </c>
      <c r="V94" s="7" t="s">
        <v>54</v>
      </c>
      <c r="W94" s="7" t="s">
        <v>39</v>
      </c>
      <c r="X94" s="17">
        <v>230.092782536762</v>
      </c>
      <c r="Y94" s="17">
        <f t="shared" si="0"/>
        <v>1802.9547816674303</v>
      </c>
      <c r="Z94" s="23">
        <f t="shared" si="4"/>
        <v>0.85849685129982267</v>
      </c>
      <c r="AA94" s="3">
        <f t="shared" si="6"/>
        <v>3.0666666666666669</v>
      </c>
      <c r="AB94">
        <f t="shared" si="5"/>
        <v>1</v>
      </c>
    </row>
    <row r="95" spans="1:28" x14ac:dyDescent="0.25">
      <c r="A95" s="7" t="s">
        <v>31</v>
      </c>
      <c r="B95" s="7" t="s">
        <v>155</v>
      </c>
      <c r="C95" s="10">
        <v>69.290831002905406</v>
      </c>
      <c r="D95" s="3">
        <v>88</v>
      </c>
      <c r="E95" s="14">
        <v>114</v>
      </c>
      <c r="F95" s="17">
        <v>4531.4021336919004</v>
      </c>
      <c r="G95" s="7" t="s">
        <v>45</v>
      </c>
      <c r="H95" s="14">
        <v>63</v>
      </c>
      <c r="I95" s="14">
        <v>17</v>
      </c>
      <c r="J95" s="14">
        <v>66</v>
      </c>
      <c r="K95" s="14">
        <v>1</v>
      </c>
      <c r="L95" s="7" t="s">
        <v>50</v>
      </c>
      <c r="M95" s="17">
        <v>7.00643205900439</v>
      </c>
      <c r="N95" s="7" t="s">
        <v>59</v>
      </c>
      <c r="O95" s="7" t="s">
        <v>70</v>
      </c>
      <c r="P95" s="14">
        <v>21</v>
      </c>
      <c r="Q95" s="14">
        <v>824</v>
      </c>
      <c r="R95" s="14">
        <v>20</v>
      </c>
      <c r="S95" s="17">
        <v>35.633652343343797</v>
      </c>
      <c r="T95" s="7" t="s">
        <v>53</v>
      </c>
      <c r="U95" s="4">
        <v>4.1657817954241398</v>
      </c>
      <c r="V95" s="7" t="s">
        <v>47</v>
      </c>
      <c r="W95" s="7" t="s">
        <v>55</v>
      </c>
      <c r="X95" s="17">
        <v>823.52384588815505</v>
      </c>
      <c r="Y95" s="17">
        <f t="shared" si="0"/>
        <v>3665.2382034013972</v>
      </c>
      <c r="Z95" s="23">
        <f t="shared" si="4"/>
        <v>0.80885299853429526</v>
      </c>
      <c r="AA95" s="3">
        <f t="shared" si="6"/>
        <v>1.8095238095238095</v>
      </c>
      <c r="AB95">
        <f t="shared" si="5"/>
        <v>0</v>
      </c>
    </row>
    <row r="96" spans="1:28" x14ac:dyDescent="0.25">
      <c r="A96" s="7" t="s">
        <v>66</v>
      </c>
      <c r="B96" s="7" t="s">
        <v>156</v>
      </c>
      <c r="C96" s="10">
        <v>3.0376887246314102</v>
      </c>
      <c r="D96" s="3">
        <v>97</v>
      </c>
      <c r="E96" s="14">
        <v>987</v>
      </c>
      <c r="F96" s="17">
        <v>7888.3565466618702</v>
      </c>
      <c r="G96" s="7" t="s">
        <v>45</v>
      </c>
      <c r="H96" s="14">
        <v>77</v>
      </c>
      <c r="I96" s="14">
        <v>26</v>
      </c>
      <c r="J96" s="14">
        <v>72</v>
      </c>
      <c r="K96" s="14">
        <v>9</v>
      </c>
      <c r="L96" s="7" t="s">
        <v>34</v>
      </c>
      <c r="M96" s="17">
        <v>6.9429459420325799</v>
      </c>
      <c r="N96" s="7" t="s">
        <v>62</v>
      </c>
      <c r="O96" s="7" t="s">
        <v>57</v>
      </c>
      <c r="P96" s="14">
        <v>12</v>
      </c>
      <c r="Q96" s="14">
        <v>908</v>
      </c>
      <c r="R96" s="14">
        <v>14</v>
      </c>
      <c r="S96" s="17">
        <v>60.387378614862101</v>
      </c>
      <c r="T96" s="7" t="s">
        <v>72</v>
      </c>
      <c r="U96" s="4">
        <v>1.4636074984727701</v>
      </c>
      <c r="V96" s="7" t="s">
        <v>54</v>
      </c>
      <c r="W96" s="7" t="s">
        <v>39</v>
      </c>
      <c r="X96" s="17">
        <v>846.66525698669398</v>
      </c>
      <c r="Y96" s="17">
        <f t="shared" si="0"/>
        <v>6974.3609651182815</v>
      </c>
      <c r="Z96" s="23">
        <f t="shared" si="4"/>
        <v>0.88413358649079243</v>
      </c>
      <c r="AA96" s="3">
        <f t="shared" si="6"/>
        <v>12.818181818181818</v>
      </c>
      <c r="AB96">
        <f t="shared" si="5"/>
        <v>1</v>
      </c>
    </row>
    <row r="97" spans="1:28" x14ac:dyDescent="0.25">
      <c r="A97" s="7" t="s">
        <v>31</v>
      </c>
      <c r="B97" s="7" t="s">
        <v>157</v>
      </c>
      <c r="C97" s="10">
        <v>77.903927219447695</v>
      </c>
      <c r="D97" s="3">
        <v>65</v>
      </c>
      <c r="E97" s="14">
        <v>672</v>
      </c>
      <c r="F97" s="17">
        <v>7386.3639440486604</v>
      </c>
      <c r="G97" s="7" t="s">
        <v>45</v>
      </c>
      <c r="H97" s="14">
        <v>15</v>
      </c>
      <c r="I97" s="14">
        <v>14</v>
      </c>
      <c r="J97" s="14">
        <v>26</v>
      </c>
      <c r="K97" s="14">
        <v>9</v>
      </c>
      <c r="L97" s="7" t="s">
        <v>34</v>
      </c>
      <c r="M97" s="17">
        <v>8.6303388696027508</v>
      </c>
      <c r="N97" s="7" t="s">
        <v>59</v>
      </c>
      <c r="O97" s="7" t="s">
        <v>36</v>
      </c>
      <c r="P97" s="14">
        <v>18</v>
      </c>
      <c r="Q97" s="14">
        <v>450</v>
      </c>
      <c r="R97" s="14">
        <v>26</v>
      </c>
      <c r="S97" s="17">
        <v>58.890685768589897</v>
      </c>
      <c r="T97" s="7" t="s">
        <v>37</v>
      </c>
      <c r="U97" s="4">
        <v>1.21088212958506</v>
      </c>
      <c r="V97" s="7" t="s">
        <v>47</v>
      </c>
      <c r="W97" s="7" t="s">
        <v>55</v>
      </c>
      <c r="X97" s="17">
        <v>778.86424137664699</v>
      </c>
      <c r="Y97" s="17">
        <f t="shared" si="0"/>
        <v>6539.9786780338209</v>
      </c>
      <c r="Z97" s="23">
        <f t="shared" si="4"/>
        <v>0.88541246106661331</v>
      </c>
      <c r="AA97" s="3">
        <f t="shared" si="6"/>
        <v>44.8</v>
      </c>
      <c r="AB97">
        <f t="shared" si="5"/>
        <v>0</v>
      </c>
    </row>
    <row r="98" spans="1:28" x14ac:dyDescent="0.25">
      <c r="A98" s="7" t="s">
        <v>66</v>
      </c>
      <c r="B98" s="7" t="s">
        <v>158</v>
      </c>
      <c r="C98" s="10">
        <v>24.423131420373299</v>
      </c>
      <c r="D98" s="3">
        <v>29</v>
      </c>
      <c r="E98" s="14">
        <v>324</v>
      </c>
      <c r="F98" s="17">
        <v>7698.4247656321104</v>
      </c>
      <c r="G98" s="7" t="s">
        <v>33</v>
      </c>
      <c r="H98" s="14">
        <v>67</v>
      </c>
      <c r="I98" s="14">
        <v>2</v>
      </c>
      <c r="J98" s="14">
        <v>32</v>
      </c>
      <c r="K98" s="14">
        <v>3</v>
      </c>
      <c r="L98" s="7" t="s">
        <v>50</v>
      </c>
      <c r="M98" s="17">
        <v>5.3528780439967996</v>
      </c>
      <c r="N98" s="7" t="s">
        <v>35</v>
      </c>
      <c r="O98" s="7" t="s">
        <v>36</v>
      </c>
      <c r="P98" s="14">
        <v>28</v>
      </c>
      <c r="Q98" s="14">
        <v>648</v>
      </c>
      <c r="R98" s="14">
        <v>28</v>
      </c>
      <c r="S98" s="17">
        <v>17.803756331391199</v>
      </c>
      <c r="T98" s="7" t="s">
        <v>37</v>
      </c>
      <c r="U98" s="4">
        <v>3.8720476814821301</v>
      </c>
      <c r="V98" s="7" t="s">
        <v>38</v>
      </c>
      <c r="W98" s="7" t="s">
        <v>55</v>
      </c>
      <c r="X98" s="17">
        <v>188.74214114905601</v>
      </c>
      <c r="Y98" s="17">
        <f t="shared" si="0"/>
        <v>7486.525990107667</v>
      </c>
      <c r="Z98" s="23">
        <f t="shared" si="4"/>
        <v>0.97247504756162351</v>
      </c>
      <c r="AA98" s="3">
        <f t="shared" si="6"/>
        <v>4.8358208955223878</v>
      </c>
      <c r="AB98">
        <f t="shared" si="5"/>
        <v>0</v>
      </c>
    </row>
    <row r="99" spans="1:28" x14ac:dyDescent="0.25">
      <c r="A99" s="7" t="s">
        <v>31</v>
      </c>
      <c r="B99" s="7" t="s">
        <v>159</v>
      </c>
      <c r="C99" s="10">
        <v>3.5261112591434101</v>
      </c>
      <c r="D99" s="3">
        <v>56</v>
      </c>
      <c r="E99" s="14">
        <v>62</v>
      </c>
      <c r="F99" s="17">
        <v>4370.9165799845296</v>
      </c>
      <c r="G99" s="7" t="s">
        <v>63</v>
      </c>
      <c r="H99" s="14">
        <v>46</v>
      </c>
      <c r="I99" s="14">
        <v>19</v>
      </c>
      <c r="J99" s="14">
        <v>4</v>
      </c>
      <c r="K99" s="14">
        <v>9</v>
      </c>
      <c r="L99" s="7" t="s">
        <v>43</v>
      </c>
      <c r="M99" s="17">
        <v>7.9048456112096703</v>
      </c>
      <c r="N99" s="7" t="s">
        <v>59</v>
      </c>
      <c r="O99" s="7" t="s">
        <v>36</v>
      </c>
      <c r="P99" s="14">
        <v>10</v>
      </c>
      <c r="Q99" s="14">
        <v>535</v>
      </c>
      <c r="R99" s="14">
        <v>13</v>
      </c>
      <c r="S99" s="17">
        <v>65.765155926367399</v>
      </c>
      <c r="T99" s="7" t="s">
        <v>53</v>
      </c>
      <c r="U99" s="4">
        <v>3.3762378347179798</v>
      </c>
      <c r="V99" s="7" t="s">
        <v>38</v>
      </c>
      <c r="W99" s="7" t="s">
        <v>55</v>
      </c>
      <c r="X99" s="17">
        <v>540.13242286796697</v>
      </c>
      <c r="Y99" s="17">
        <f t="shared" si="0"/>
        <v>3757.1141555789859</v>
      </c>
      <c r="Z99" s="23">
        <f t="shared" si="4"/>
        <v>0.85957123336183272</v>
      </c>
      <c r="AA99" s="3">
        <f t="shared" si="6"/>
        <v>1.3478260869565217</v>
      </c>
      <c r="AB99">
        <f t="shared" si="5"/>
        <v>0</v>
      </c>
    </row>
    <row r="100" spans="1:28" x14ac:dyDescent="0.25">
      <c r="A100" s="7" t="s">
        <v>40</v>
      </c>
      <c r="B100" s="7" t="s">
        <v>160</v>
      </c>
      <c r="C100" s="10">
        <v>19.754604866878601</v>
      </c>
      <c r="D100" s="3">
        <v>43</v>
      </c>
      <c r="E100" s="14">
        <v>913</v>
      </c>
      <c r="F100" s="17">
        <v>8525.9525596835192</v>
      </c>
      <c r="G100" s="7" t="s">
        <v>42</v>
      </c>
      <c r="H100" s="14">
        <v>53</v>
      </c>
      <c r="I100" s="14">
        <v>1</v>
      </c>
      <c r="J100" s="14">
        <v>27</v>
      </c>
      <c r="K100" s="14">
        <v>7</v>
      </c>
      <c r="L100" s="7" t="s">
        <v>34</v>
      </c>
      <c r="M100" s="17">
        <v>1.4098010951380699</v>
      </c>
      <c r="N100" s="7" t="s">
        <v>51</v>
      </c>
      <c r="O100" s="7" t="s">
        <v>70</v>
      </c>
      <c r="P100" s="14">
        <v>28</v>
      </c>
      <c r="Q100" s="14">
        <v>581</v>
      </c>
      <c r="R100" s="14">
        <v>9</v>
      </c>
      <c r="S100" s="17">
        <v>5.6046908643717801</v>
      </c>
      <c r="T100" s="7" t="s">
        <v>37</v>
      </c>
      <c r="U100" s="4">
        <v>2.9081221693512598</v>
      </c>
      <c r="V100" s="7" t="s">
        <v>54</v>
      </c>
      <c r="W100" s="7" t="s">
        <v>55</v>
      </c>
      <c r="X100" s="17">
        <v>882.19886354704101</v>
      </c>
      <c r="Y100" s="17">
        <f t="shared" si="0"/>
        <v>7636.7392041769681</v>
      </c>
      <c r="Z100" s="23">
        <f t="shared" si="4"/>
        <v>0.89570510165499229</v>
      </c>
      <c r="AA100" s="3">
        <f t="shared" si="6"/>
        <v>17.226415094339622</v>
      </c>
      <c r="AB100">
        <f t="shared" si="5"/>
        <v>0</v>
      </c>
    </row>
    <row r="101" spans="1:28" x14ac:dyDescent="0.25">
      <c r="A101" s="7" t="s">
        <v>31</v>
      </c>
      <c r="B101" s="7" t="s">
        <v>161</v>
      </c>
      <c r="C101" s="10">
        <v>68.517832699276596</v>
      </c>
      <c r="D101" s="3">
        <v>17</v>
      </c>
      <c r="E101" s="14">
        <v>627</v>
      </c>
      <c r="F101" s="17">
        <v>9185.1858291817007</v>
      </c>
      <c r="G101" s="7" t="s">
        <v>45</v>
      </c>
      <c r="H101" s="14">
        <v>55</v>
      </c>
      <c r="I101" s="14">
        <v>8</v>
      </c>
      <c r="J101" s="14">
        <v>59</v>
      </c>
      <c r="K101" s="14">
        <v>6</v>
      </c>
      <c r="L101" s="7" t="s">
        <v>34</v>
      </c>
      <c r="M101" s="17">
        <v>1.3110237561206199</v>
      </c>
      <c r="N101" s="7" t="s">
        <v>62</v>
      </c>
      <c r="O101" s="7" t="s">
        <v>70</v>
      </c>
      <c r="P101" s="14">
        <v>29</v>
      </c>
      <c r="Q101" s="14">
        <v>921</v>
      </c>
      <c r="R101" s="14">
        <v>2</v>
      </c>
      <c r="S101" s="17">
        <v>38.072898520625998</v>
      </c>
      <c r="T101" s="7" t="s">
        <v>53</v>
      </c>
      <c r="U101" s="4">
        <v>0.34602729070550298</v>
      </c>
      <c r="V101" s="7" t="s">
        <v>54</v>
      </c>
      <c r="W101" s="7" t="s">
        <v>39</v>
      </c>
      <c r="X101" s="17">
        <v>210.743008964246</v>
      </c>
      <c r="Y101" s="17">
        <f t="shared" si="0"/>
        <v>8935.0588979407075</v>
      </c>
      <c r="Z101" s="23">
        <f t="shared" si="4"/>
        <v>0.97276844084674585</v>
      </c>
      <c r="AA101" s="3">
        <f t="shared" si="6"/>
        <v>11.4</v>
      </c>
      <c r="AB101">
        <f t="shared" si="5"/>
        <v>0</v>
      </c>
    </row>
    <row r="102" spans="1:28" x14ac:dyDescent="0.25">
      <c r="C102" s="10"/>
      <c r="F102" s="17"/>
      <c r="M102" s="17"/>
      <c r="S102" s="17"/>
      <c r="U102" s="4"/>
      <c r="X102" s="17"/>
      <c r="Z102" s="21"/>
    </row>
    <row r="103" spans="1:28" x14ac:dyDescent="0.25">
      <c r="C103" s="10"/>
      <c r="F103" s="17"/>
      <c r="M103" s="17"/>
      <c r="S103" s="17"/>
      <c r="U103" s="4"/>
      <c r="X103" s="17"/>
      <c r="Z103" s="21"/>
      <c r="AA103" s="5"/>
    </row>
    <row r="104" spans="1:28" x14ac:dyDescent="0.25">
      <c r="C104" s="10"/>
      <c r="F104" s="17"/>
      <c r="M104" s="17"/>
      <c r="S104" s="17"/>
      <c r="U104" s="4"/>
      <c r="X104" s="17"/>
      <c r="Z104" s="21"/>
      <c r="AA104" s="5"/>
    </row>
    <row r="105" spans="1:28" x14ac:dyDescent="0.25">
      <c r="C105" s="10"/>
      <c r="F105" s="17"/>
      <c r="M105" s="17"/>
      <c r="S105" s="17"/>
      <c r="U105" s="4"/>
      <c r="X105" s="17"/>
      <c r="Z105" s="21"/>
      <c r="AA105" s="5"/>
    </row>
    <row r="106" spans="1:28" x14ac:dyDescent="0.25">
      <c r="C106" s="10"/>
      <c r="F106" s="17"/>
      <c r="M106" s="17"/>
      <c r="S106" s="17"/>
      <c r="U106" s="4"/>
      <c r="X106" s="17"/>
      <c r="Z106" s="21"/>
      <c r="AA106" s="5"/>
    </row>
    <row r="107" spans="1:28" x14ac:dyDescent="0.25">
      <c r="C107" s="10"/>
      <c r="F107" s="17"/>
      <c r="M107" s="17"/>
      <c r="S107" s="17"/>
      <c r="U107" s="4"/>
      <c r="X107" s="17"/>
      <c r="Z107" s="21" t="e">
        <f t="shared" ref="Z107:Z132" ca="1" si="7">DIVIDE(100*Y107,F107)</f>
        <v>#NAME?</v>
      </c>
      <c r="AA107" s="5">
        <f ca="1">IFERROR(DIVIDE(E107,H107),0)</f>
        <v>0</v>
      </c>
    </row>
    <row r="108" spans="1:28" x14ac:dyDescent="0.25">
      <c r="C108" s="10"/>
      <c r="F108" s="17"/>
      <c r="M108" s="17"/>
      <c r="S108" s="17"/>
      <c r="U108" s="4"/>
      <c r="X108" s="17"/>
      <c r="Z108" s="21" t="e">
        <f t="shared" ca="1" si="7"/>
        <v>#NAME?</v>
      </c>
      <c r="AA108" s="5" t="e">
        <f t="shared" ref="AA108:AA132" ca="1" si="8">DIVIDE(E108,H108)</f>
        <v>#NAME?</v>
      </c>
    </row>
    <row r="109" spans="1:28" x14ac:dyDescent="0.25">
      <c r="C109" s="10"/>
      <c r="F109" s="17"/>
      <c r="M109" s="17"/>
      <c r="S109" s="17"/>
      <c r="U109" s="4"/>
      <c r="X109" s="17"/>
      <c r="Z109" s="21" t="e">
        <f t="shared" ca="1" si="7"/>
        <v>#NAME?</v>
      </c>
      <c r="AA109" s="5" t="e">
        <f t="shared" ca="1" si="8"/>
        <v>#NAME?</v>
      </c>
    </row>
    <row r="110" spans="1:28" x14ac:dyDescent="0.25">
      <c r="C110" s="10"/>
      <c r="F110" s="17"/>
      <c r="M110" s="17"/>
      <c r="S110" s="17"/>
      <c r="U110" s="4"/>
      <c r="X110" s="17"/>
      <c r="Z110" s="21" t="e">
        <f t="shared" ca="1" si="7"/>
        <v>#NAME?</v>
      </c>
      <c r="AA110" s="5" t="e">
        <f t="shared" ca="1" si="8"/>
        <v>#NAME?</v>
      </c>
    </row>
    <row r="111" spans="1:28" x14ac:dyDescent="0.25">
      <c r="C111" s="10"/>
      <c r="F111" s="17"/>
      <c r="M111" s="17"/>
      <c r="S111" s="17"/>
      <c r="U111" s="4"/>
      <c r="X111" s="17"/>
      <c r="Z111" s="21" t="e">
        <f t="shared" ca="1" si="7"/>
        <v>#NAME?</v>
      </c>
      <c r="AA111" s="5" t="e">
        <f t="shared" ca="1" si="8"/>
        <v>#NAME?</v>
      </c>
    </row>
    <row r="112" spans="1:28" x14ac:dyDescent="0.25">
      <c r="C112" s="10"/>
      <c r="F112" s="17"/>
      <c r="M112" s="17"/>
      <c r="S112" s="17"/>
      <c r="U112" s="4"/>
      <c r="X112" s="17"/>
      <c r="Z112" s="21" t="e">
        <f t="shared" ca="1" si="7"/>
        <v>#NAME?</v>
      </c>
      <c r="AA112" s="5" t="e">
        <f t="shared" ca="1" si="8"/>
        <v>#NAME?</v>
      </c>
    </row>
    <row r="113" spans="3:27" x14ac:dyDescent="0.25">
      <c r="C113" s="10"/>
      <c r="F113" s="17"/>
      <c r="M113" s="17"/>
      <c r="S113" s="17"/>
      <c r="U113" s="4"/>
      <c r="X113" s="17"/>
      <c r="Z113" s="21" t="e">
        <f t="shared" ca="1" si="7"/>
        <v>#NAME?</v>
      </c>
      <c r="AA113" s="5" t="e">
        <f t="shared" ca="1" si="8"/>
        <v>#NAME?</v>
      </c>
    </row>
    <row r="114" spans="3:27" x14ac:dyDescent="0.25">
      <c r="C114" s="10"/>
      <c r="F114" s="17"/>
      <c r="M114" s="17"/>
      <c r="S114" s="17"/>
      <c r="U114" s="4"/>
      <c r="X114" s="17"/>
      <c r="Z114" s="21" t="e">
        <f t="shared" ca="1" si="7"/>
        <v>#NAME?</v>
      </c>
      <c r="AA114" s="5" t="e">
        <f t="shared" ca="1" si="8"/>
        <v>#NAME?</v>
      </c>
    </row>
    <row r="115" spans="3:27" x14ac:dyDescent="0.25">
      <c r="C115" s="10"/>
      <c r="F115" s="17"/>
      <c r="M115" s="17"/>
      <c r="S115" s="17"/>
      <c r="U115" s="4"/>
      <c r="X115" s="17"/>
      <c r="Z115" s="21" t="e">
        <f t="shared" ca="1" si="7"/>
        <v>#NAME?</v>
      </c>
      <c r="AA115" s="5" t="e">
        <f t="shared" ca="1" si="8"/>
        <v>#NAME?</v>
      </c>
    </row>
    <row r="116" spans="3:27" x14ac:dyDescent="0.25">
      <c r="C116" s="10"/>
      <c r="F116" s="17"/>
      <c r="M116" s="17"/>
      <c r="S116" s="17"/>
      <c r="U116" s="4"/>
      <c r="X116" s="17"/>
      <c r="Z116" s="21" t="e">
        <f t="shared" ca="1" si="7"/>
        <v>#NAME?</v>
      </c>
      <c r="AA116" s="5" t="e">
        <f t="shared" ca="1" si="8"/>
        <v>#NAME?</v>
      </c>
    </row>
    <row r="117" spans="3:27" x14ac:dyDescent="0.25">
      <c r="C117" s="10"/>
      <c r="F117" s="17"/>
      <c r="M117" s="17"/>
      <c r="S117" s="17"/>
      <c r="U117" s="4"/>
      <c r="X117" s="17"/>
      <c r="Z117" s="21" t="e">
        <f t="shared" ca="1" si="7"/>
        <v>#NAME?</v>
      </c>
      <c r="AA117" s="5" t="e">
        <f t="shared" ca="1" si="8"/>
        <v>#NAME?</v>
      </c>
    </row>
    <row r="118" spans="3:27" x14ac:dyDescent="0.25">
      <c r="C118" s="10"/>
      <c r="F118" s="17"/>
      <c r="M118" s="17"/>
      <c r="S118" s="17"/>
      <c r="U118" s="4"/>
      <c r="X118" s="17"/>
      <c r="Z118" s="21" t="e">
        <f t="shared" ca="1" si="7"/>
        <v>#NAME?</v>
      </c>
      <c r="AA118" s="5" t="e">
        <f t="shared" ca="1" si="8"/>
        <v>#NAME?</v>
      </c>
    </row>
    <row r="119" spans="3:27" x14ac:dyDescent="0.25">
      <c r="C119" s="10"/>
      <c r="F119" s="17"/>
      <c r="M119" s="17"/>
      <c r="S119" s="17"/>
      <c r="U119" s="4"/>
      <c r="X119" s="17"/>
      <c r="Z119" s="21" t="e">
        <f t="shared" ca="1" si="7"/>
        <v>#NAME?</v>
      </c>
      <c r="AA119" s="5" t="e">
        <f t="shared" ca="1" si="8"/>
        <v>#NAME?</v>
      </c>
    </row>
    <row r="120" spans="3:27" x14ac:dyDescent="0.25">
      <c r="C120" s="10"/>
      <c r="F120" s="17"/>
      <c r="M120" s="17"/>
      <c r="S120" s="17"/>
      <c r="U120" s="4"/>
      <c r="X120" s="17"/>
      <c r="Z120" s="21" t="e">
        <f t="shared" ca="1" si="7"/>
        <v>#NAME?</v>
      </c>
      <c r="AA120" s="5" t="e">
        <f t="shared" ca="1" si="8"/>
        <v>#NAME?</v>
      </c>
    </row>
    <row r="121" spans="3:27" x14ac:dyDescent="0.25">
      <c r="C121" s="10"/>
      <c r="F121" s="17"/>
      <c r="M121" s="17"/>
      <c r="S121" s="17"/>
      <c r="U121" s="4"/>
      <c r="X121" s="17"/>
      <c r="Z121" s="21" t="e">
        <f t="shared" ca="1" si="7"/>
        <v>#NAME?</v>
      </c>
      <c r="AA121" s="5" t="e">
        <f t="shared" ca="1" si="8"/>
        <v>#NAME?</v>
      </c>
    </row>
    <row r="122" spans="3:27" x14ac:dyDescent="0.25">
      <c r="C122" s="10"/>
      <c r="F122" s="17"/>
      <c r="M122" s="17"/>
      <c r="S122" s="17"/>
      <c r="U122" s="4"/>
      <c r="X122" s="17"/>
      <c r="Z122" s="21" t="e">
        <f t="shared" ca="1" si="7"/>
        <v>#NAME?</v>
      </c>
      <c r="AA122" s="5" t="e">
        <f t="shared" ca="1" si="8"/>
        <v>#NAME?</v>
      </c>
    </row>
    <row r="123" spans="3:27" x14ac:dyDescent="0.25">
      <c r="C123" s="10"/>
      <c r="F123" s="17"/>
      <c r="M123" s="17"/>
      <c r="S123" s="17"/>
      <c r="U123" s="4"/>
      <c r="X123" s="17"/>
      <c r="Z123" s="21" t="e">
        <f t="shared" ca="1" si="7"/>
        <v>#NAME?</v>
      </c>
      <c r="AA123" s="5" t="e">
        <f t="shared" ca="1" si="8"/>
        <v>#NAME?</v>
      </c>
    </row>
    <row r="124" spans="3:27" x14ac:dyDescent="0.25">
      <c r="C124" s="10"/>
      <c r="F124" s="17"/>
      <c r="M124" s="17"/>
      <c r="S124" s="17"/>
      <c r="U124" s="4"/>
      <c r="X124" s="17"/>
      <c r="Z124" s="21" t="e">
        <f t="shared" ca="1" si="7"/>
        <v>#NAME?</v>
      </c>
      <c r="AA124" s="5" t="e">
        <f t="shared" ca="1" si="8"/>
        <v>#NAME?</v>
      </c>
    </row>
    <row r="125" spans="3:27" x14ac:dyDescent="0.25">
      <c r="C125" s="10"/>
      <c r="F125" s="17"/>
      <c r="M125" s="17"/>
      <c r="S125" s="17"/>
      <c r="U125" s="4"/>
      <c r="X125" s="17"/>
      <c r="Z125" s="21" t="e">
        <f t="shared" ca="1" si="7"/>
        <v>#NAME?</v>
      </c>
      <c r="AA125" s="5" t="e">
        <f t="shared" ca="1" si="8"/>
        <v>#NAME?</v>
      </c>
    </row>
    <row r="126" spans="3:27" x14ac:dyDescent="0.25">
      <c r="C126" s="10"/>
      <c r="F126" s="17"/>
      <c r="M126" s="17"/>
      <c r="S126" s="17"/>
      <c r="U126" s="4"/>
      <c r="X126" s="17"/>
      <c r="Z126" s="21" t="e">
        <f t="shared" ca="1" si="7"/>
        <v>#NAME?</v>
      </c>
      <c r="AA126" s="5" t="e">
        <f t="shared" ca="1" si="8"/>
        <v>#NAME?</v>
      </c>
    </row>
    <row r="127" spans="3:27" x14ac:dyDescent="0.25">
      <c r="C127" s="10"/>
      <c r="F127" s="17"/>
      <c r="M127" s="17"/>
      <c r="S127" s="17"/>
      <c r="U127" s="4"/>
      <c r="X127" s="17"/>
      <c r="Z127" s="21" t="e">
        <f t="shared" ca="1" si="7"/>
        <v>#NAME?</v>
      </c>
      <c r="AA127" s="5" t="e">
        <f t="shared" ca="1" si="8"/>
        <v>#NAME?</v>
      </c>
    </row>
    <row r="128" spans="3:27" x14ac:dyDescent="0.25">
      <c r="C128" s="10"/>
      <c r="F128" s="17"/>
      <c r="M128" s="17"/>
      <c r="S128" s="17"/>
      <c r="U128" s="4"/>
      <c r="X128" s="17"/>
      <c r="Z128" s="21" t="e">
        <f t="shared" ca="1" si="7"/>
        <v>#NAME?</v>
      </c>
      <c r="AA128" s="5" t="e">
        <f t="shared" ca="1" si="8"/>
        <v>#NAME?</v>
      </c>
    </row>
    <row r="129" spans="3:27" x14ac:dyDescent="0.25">
      <c r="C129" s="10"/>
      <c r="F129" s="17"/>
      <c r="M129" s="17"/>
      <c r="S129" s="17"/>
      <c r="U129" s="4"/>
      <c r="X129" s="17"/>
      <c r="Z129" s="21" t="e">
        <f t="shared" ca="1" si="7"/>
        <v>#NAME?</v>
      </c>
      <c r="AA129" s="5" t="e">
        <f t="shared" ca="1" si="8"/>
        <v>#NAME?</v>
      </c>
    </row>
    <row r="130" spans="3:27" x14ac:dyDescent="0.25">
      <c r="C130" s="10"/>
      <c r="F130" s="17"/>
      <c r="M130" s="17"/>
      <c r="S130" s="17"/>
      <c r="U130" s="4"/>
      <c r="X130" s="17"/>
      <c r="Z130" s="21" t="e">
        <f t="shared" ca="1" si="7"/>
        <v>#NAME?</v>
      </c>
      <c r="AA130" s="5" t="e">
        <f t="shared" ca="1" si="8"/>
        <v>#NAME?</v>
      </c>
    </row>
    <row r="131" spans="3:27" x14ac:dyDescent="0.25">
      <c r="C131" s="10"/>
      <c r="F131" s="17"/>
      <c r="M131" s="17"/>
      <c r="S131" s="17"/>
      <c r="U131" s="4"/>
      <c r="X131" s="17"/>
      <c r="Z131" s="21" t="e">
        <f t="shared" ca="1" si="7"/>
        <v>#NAME?</v>
      </c>
      <c r="AA131" s="5" t="e">
        <f t="shared" ca="1" si="8"/>
        <v>#NAME?</v>
      </c>
    </row>
    <row r="132" spans="3:27" x14ac:dyDescent="0.25">
      <c r="C132" s="10"/>
      <c r="F132" s="17"/>
      <c r="M132" s="17"/>
      <c r="S132" s="17"/>
      <c r="U132" s="4"/>
      <c r="X132" s="17"/>
      <c r="Z132" s="21" t="e">
        <f t="shared" ca="1" si="7"/>
        <v>#NAME?</v>
      </c>
      <c r="AA132" s="5" t="e">
        <f t="shared" ca="1" si="8"/>
        <v>#NAME?</v>
      </c>
    </row>
    <row r="133" spans="3:27" x14ac:dyDescent="0.25">
      <c r="C133" s="10"/>
      <c r="F133" s="17"/>
      <c r="M133" s="17"/>
      <c r="S133" s="17"/>
      <c r="U133" s="4"/>
      <c r="X133" s="17"/>
      <c r="Z133" s="21"/>
      <c r="AA133" s="5"/>
    </row>
    <row r="134" spans="3:27" x14ac:dyDescent="0.25">
      <c r="C134" s="10"/>
      <c r="F134" s="17"/>
      <c r="M134" s="17"/>
      <c r="S134" s="17"/>
      <c r="U134" s="4"/>
      <c r="X134" s="17"/>
      <c r="Z134" s="21"/>
      <c r="AA134" s="5"/>
    </row>
    <row r="135" spans="3:27" x14ac:dyDescent="0.25">
      <c r="C135" s="10"/>
      <c r="F135" s="17"/>
      <c r="M135" s="17"/>
      <c r="S135" s="17"/>
      <c r="U135" s="4"/>
      <c r="X135" s="17"/>
      <c r="Z135" s="21"/>
      <c r="AA135" s="5"/>
    </row>
    <row r="136" spans="3:27" x14ac:dyDescent="0.25">
      <c r="C136" s="10"/>
      <c r="F136" s="17"/>
      <c r="M136" s="17"/>
      <c r="S136" s="17"/>
      <c r="U136" s="4"/>
      <c r="X136" s="17"/>
      <c r="Z136" s="21"/>
      <c r="AA136" s="5"/>
    </row>
    <row r="137" spans="3:27" x14ac:dyDescent="0.25">
      <c r="C137" s="10"/>
      <c r="F137" s="17"/>
      <c r="M137" s="17"/>
      <c r="S137" s="17"/>
      <c r="U137" s="4"/>
      <c r="X137" s="17"/>
      <c r="Z137" s="21"/>
      <c r="AA137" s="5"/>
    </row>
    <row r="138" spans="3:27" x14ac:dyDescent="0.25">
      <c r="C138" s="10"/>
      <c r="F138" s="17"/>
      <c r="M138" s="17"/>
      <c r="S138" s="17"/>
      <c r="U138" s="4"/>
      <c r="X138" s="17"/>
      <c r="Z138" s="21"/>
      <c r="AA138" s="5"/>
    </row>
    <row r="139" spans="3:27" x14ac:dyDescent="0.25">
      <c r="C139" s="10"/>
      <c r="F139" s="17"/>
      <c r="M139" s="17"/>
      <c r="S139" s="17"/>
      <c r="U139" s="4"/>
      <c r="X139" s="17"/>
      <c r="Z139" s="21"/>
      <c r="AA139" s="5"/>
    </row>
    <row r="140" spans="3:27" x14ac:dyDescent="0.25">
      <c r="C140" s="10"/>
      <c r="F140" s="17"/>
      <c r="M140" s="17"/>
      <c r="S140" s="17"/>
      <c r="U140" s="4"/>
      <c r="X140" s="17"/>
      <c r="Z140" s="21"/>
      <c r="AA140" s="5"/>
    </row>
    <row r="141" spans="3:27" x14ac:dyDescent="0.25">
      <c r="C141" s="10"/>
      <c r="F141" s="17"/>
      <c r="M141" s="17"/>
      <c r="S141" s="17"/>
      <c r="U141" s="4"/>
      <c r="X141" s="17"/>
      <c r="Z141" s="21"/>
      <c r="AA141" s="5"/>
    </row>
    <row r="142" spans="3:27" x14ac:dyDescent="0.25">
      <c r="C142" s="10"/>
      <c r="F142" s="17"/>
      <c r="M142" s="17"/>
      <c r="S142" s="17"/>
      <c r="U142" s="4"/>
      <c r="X142" s="17"/>
      <c r="Z142" s="21"/>
      <c r="AA142" s="5"/>
    </row>
    <row r="143" spans="3:27" x14ac:dyDescent="0.25">
      <c r="C143" s="10"/>
      <c r="F143" s="17"/>
      <c r="M143" s="17"/>
      <c r="S143" s="17"/>
      <c r="U143" s="4"/>
      <c r="X143" s="17"/>
      <c r="Z143" s="21"/>
      <c r="AA143" s="5"/>
    </row>
    <row r="144" spans="3:27" x14ac:dyDescent="0.25">
      <c r="C144" s="10"/>
      <c r="F144" s="17"/>
      <c r="M144" s="17"/>
      <c r="S144" s="17"/>
      <c r="U144" s="4"/>
      <c r="X144" s="17"/>
      <c r="Z144" s="21"/>
      <c r="AA144" s="5"/>
    </row>
    <row r="145" spans="3:27" x14ac:dyDescent="0.25">
      <c r="C145" s="10"/>
      <c r="F145" s="17"/>
      <c r="M145" s="17"/>
      <c r="S145" s="17"/>
      <c r="U145" s="4"/>
      <c r="X145" s="17"/>
      <c r="Z145" s="21"/>
      <c r="AA145" s="5"/>
    </row>
    <row r="146" spans="3:27" x14ac:dyDescent="0.25">
      <c r="C146" s="10"/>
      <c r="F146" s="17"/>
      <c r="M146" s="17"/>
      <c r="S146" s="17"/>
      <c r="U146" s="4"/>
      <c r="X146" s="17"/>
      <c r="Z146" s="21"/>
      <c r="AA146" s="5"/>
    </row>
    <row r="147" spans="3:27" x14ac:dyDescent="0.25">
      <c r="C147" s="10"/>
      <c r="F147" s="17"/>
      <c r="M147" s="17"/>
      <c r="S147" s="17"/>
      <c r="U147" s="4"/>
      <c r="X147" s="17"/>
      <c r="Z147" s="21"/>
      <c r="AA147" s="5"/>
    </row>
    <row r="148" spans="3:27" x14ac:dyDescent="0.25">
      <c r="C148" s="10"/>
      <c r="F148" s="17"/>
      <c r="M148" s="17"/>
      <c r="S148" s="17"/>
      <c r="U148" s="4"/>
      <c r="X148" s="17"/>
      <c r="Z148" s="21"/>
      <c r="AA148" s="5"/>
    </row>
    <row r="149" spans="3:27" x14ac:dyDescent="0.25">
      <c r="C149" s="10"/>
      <c r="F149" s="17"/>
      <c r="M149" s="17"/>
      <c r="S149" s="17"/>
      <c r="U149" s="4"/>
      <c r="X149" s="17"/>
      <c r="Z149" s="21"/>
      <c r="AA149" s="5"/>
    </row>
    <row r="150" spans="3:27" x14ac:dyDescent="0.25">
      <c r="C150" s="10"/>
      <c r="F150" s="17"/>
      <c r="M150" s="17"/>
      <c r="S150" s="17"/>
      <c r="U150" s="4"/>
      <c r="X150" s="17"/>
      <c r="Z150" s="21"/>
      <c r="AA150" s="5"/>
    </row>
    <row r="151" spans="3:27" x14ac:dyDescent="0.25">
      <c r="C151" s="10"/>
      <c r="F151" s="17"/>
      <c r="M151" s="17"/>
      <c r="S151" s="17"/>
      <c r="U151" s="4"/>
      <c r="X151" s="17"/>
      <c r="Z151" s="21"/>
      <c r="AA151" s="5"/>
    </row>
    <row r="152" spans="3:27" x14ac:dyDescent="0.25">
      <c r="C152" s="10"/>
      <c r="F152" s="17"/>
      <c r="M152" s="17"/>
      <c r="S152" s="17"/>
      <c r="U152" s="4"/>
      <c r="X152" s="17"/>
      <c r="Z152" s="21"/>
      <c r="AA152" s="5"/>
    </row>
    <row r="153" spans="3:27" x14ac:dyDescent="0.25">
      <c r="C153" s="10"/>
      <c r="F153" s="17"/>
      <c r="M153" s="17"/>
      <c r="S153" s="17"/>
      <c r="U153" s="4"/>
      <c r="X153" s="17"/>
      <c r="Z153" s="21"/>
      <c r="AA153" s="5"/>
    </row>
    <row r="154" spans="3:27" x14ac:dyDescent="0.25">
      <c r="C154" s="10"/>
      <c r="F154" s="17"/>
      <c r="M154" s="17"/>
      <c r="S154" s="17"/>
      <c r="U154" s="4"/>
      <c r="X154" s="17"/>
      <c r="Z154" s="21"/>
      <c r="AA154" s="5"/>
    </row>
    <row r="155" spans="3:27" x14ac:dyDescent="0.25">
      <c r="C155" s="10"/>
      <c r="F155" s="17"/>
      <c r="M155" s="17"/>
      <c r="S155" s="17"/>
      <c r="U155" s="4"/>
      <c r="X155" s="17"/>
      <c r="Z155" s="21"/>
      <c r="AA155" s="5"/>
    </row>
    <row r="156" spans="3:27" x14ac:dyDescent="0.25">
      <c r="C156" s="10"/>
      <c r="F156" s="17"/>
      <c r="M156" s="17"/>
      <c r="S156" s="17"/>
      <c r="U156" s="4"/>
      <c r="X156" s="17"/>
      <c r="Z156" s="21"/>
      <c r="AA156" s="5"/>
    </row>
    <row r="157" spans="3:27" x14ac:dyDescent="0.25">
      <c r="C157" s="10"/>
      <c r="F157" s="17"/>
      <c r="M157" s="17"/>
      <c r="S157" s="17"/>
      <c r="U157" s="4"/>
      <c r="X157" s="17"/>
      <c r="Z157" s="21"/>
      <c r="AA157" s="5"/>
    </row>
    <row r="158" spans="3:27" x14ac:dyDescent="0.25">
      <c r="C158" s="10"/>
      <c r="F158" s="17"/>
      <c r="M158" s="17"/>
      <c r="S158" s="17"/>
      <c r="U158" s="4"/>
      <c r="X158" s="17"/>
      <c r="Z158" s="21"/>
      <c r="AA158" s="5"/>
    </row>
    <row r="159" spans="3:27" x14ac:dyDescent="0.25">
      <c r="C159" s="10"/>
      <c r="F159" s="17"/>
      <c r="M159" s="17"/>
      <c r="S159" s="17"/>
      <c r="U159" s="4"/>
      <c r="X159" s="17"/>
      <c r="Z159" s="21"/>
      <c r="AA159" s="5"/>
    </row>
    <row r="160" spans="3:27" x14ac:dyDescent="0.25">
      <c r="C160" s="10"/>
      <c r="F160" s="17"/>
      <c r="M160" s="17"/>
      <c r="S160" s="17"/>
      <c r="U160" s="4"/>
      <c r="X160" s="17"/>
      <c r="Z160" s="21"/>
      <c r="AA160" s="5"/>
    </row>
    <row r="161" spans="3:27" x14ac:dyDescent="0.25">
      <c r="C161" s="10"/>
      <c r="F161" s="17"/>
      <c r="M161" s="17"/>
      <c r="S161" s="17"/>
      <c r="U161" s="4"/>
      <c r="X161" s="17"/>
      <c r="Z161" s="21"/>
      <c r="AA161" s="5"/>
    </row>
    <row r="162" spans="3:27" x14ac:dyDescent="0.25">
      <c r="C162" s="10"/>
      <c r="F162" s="17"/>
      <c r="M162" s="17"/>
      <c r="S162" s="17"/>
      <c r="U162" s="4"/>
      <c r="X162" s="17"/>
      <c r="Z162" s="21"/>
      <c r="AA162" s="5"/>
    </row>
    <row r="163" spans="3:27" x14ac:dyDescent="0.25">
      <c r="C163" s="10"/>
      <c r="F163" s="17"/>
      <c r="M163" s="17"/>
      <c r="S163" s="17"/>
      <c r="U163" s="4"/>
      <c r="X163" s="17"/>
      <c r="Z163" s="21"/>
      <c r="AA163" s="5"/>
    </row>
    <row r="164" spans="3:27" x14ac:dyDescent="0.25">
      <c r="C164" s="10"/>
      <c r="F164" s="17"/>
      <c r="M164" s="17"/>
      <c r="S164" s="17"/>
      <c r="U164" s="4"/>
      <c r="X164" s="17"/>
      <c r="Z164" s="21"/>
      <c r="AA164" s="5"/>
    </row>
    <row r="165" spans="3:27" x14ac:dyDescent="0.25">
      <c r="C165" s="10"/>
      <c r="F165" s="17"/>
      <c r="M165" s="17"/>
      <c r="S165" s="17"/>
      <c r="U165" s="4"/>
      <c r="X165" s="17"/>
      <c r="Z165" s="21"/>
      <c r="AA165" s="5"/>
    </row>
    <row r="166" spans="3:27" x14ac:dyDescent="0.25">
      <c r="C166" s="10"/>
      <c r="F166" s="17"/>
      <c r="M166" s="17"/>
      <c r="S166" s="17"/>
      <c r="U166" s="4"/>
      <c r="X166" s="17"/>
      <c r="Z166" s="21"/>
      <c r="AA166" s="5"/>
    </row>
    <row r="167" spans="3:27" x14ac:dyDescent="0.25">
      <c r="C167" s="10"/>
      <c r="F167" s="17"/>
      <c r="M167" s="17"/>
      <c r="S167" s="17"/>
      <c r="U167" s="4"/>
      <c r="X167" s="17"/>
      <c r="Z167" s="21"/>
      <c r="AA167" s="5"/>
    </row>
    <row r="168" spans="3:27" x14ac:dyDescent="0.25">
      <c r="C168" s="10"/>
      <c r="F168" s="17"/>
      <c r="M168" s="17"/>
      <c r="S168" s="17"/>
      <c r="U168" s="4"/>
      <c r="X168" s="17"/>
      <c r="Z168" s="21"/>
      <c r="AA168" s="5"/>
    </row>
    <row r="169" spans="3:27" x14ac:dyDescent="0.25">
      <c r="C169" s="10"/>
      <c r="F169" s="17"/>
      <c r="M169" s="17"/>
      <c r="S169" s="17"/>
      <c r="U169" s="4"/>
      <c r="X169" s="17"/>
      <c r="Z169" s="21"/>
      <c r="AA169" s="5"/>
    </row>
    <row r="170" spans="3:27" x14ac:dyDescent="0.25">
      <c r="C170" s="10"/>
      <c r="F170" s="17"/>
      <c r="M170" s="17"/>
      <c r="S170" s="17"/>
      <c r="U170" s="4"/>
      <c r="X170" s="17"/>
      <c r="Z170" s="21"/>
      <c r="AA170" s="5"/>
    </row>
    <row r="171" spans="3:27" x14ac:dyDescent="0.25">
      <c r="C171" s="10"/>
      <c r="F171" s="17"/>
      <c r="M171" s="17"/>
      <c r="S171" s="17"/>
      <c r="U171" s="4"/>
      <c r="X171" s="17"/>
      <c r="Z171" s="21"/>
      <c r="AA171" s="5"/>
    </row>
    <row r="172" spans="3:27" x14ac:dyDescent="0.25">
      <c r="C172" s="10"/>
      <c r="F172" s="17"/>
      <c r="M172" s="17"/>
      <c r="S172" s="17"/>
      <c r="U172" s="4"/>
      <c r="X172" s="17"/>
      <c r="Z172" s="21"/>
      <c r="AA172" s="5"/>
    </row>
    <row r="173" spans="3:27" x14ac:dyDescent="0.25">
      <c r="C173" s="10"/>
      <c r="F173" s="17"/>
      <c r="M173" s="17"/>
      <c r="S173" s="17"/>
      <c r="U173" s="4"/>
      <c r="X173" s="17"/>
      <c r="Z173" s="21"/>
      <c r="AA173" s="5"/>
    </row>
    <row r="174" spans="3:27" x14ac:dyDescent="0.25">
      <c r="C174" s="10"/>
      <c r="F174" s="17"/>
      <c r="M174" s="17"/>
      <c r="S174" s="17"/>
      <c r="U174" s="4"/>
      <c r="X174" s="17"/>
      <c r="Z174" s="21"/>
      <c r="AA174" s="5"/>
    </row>
    <row r="175" spans="3:27" x14ac:dyDescent="0.25">
      <c r="C175" s="10"/>
      <c r="F175" s="17"/>
      <c r="M175" s="17"/>
      <c r="S175" s="17"/>
      <c r="U175" s="4"/>
      <c r="X175" s="17"/>
      <c r="Z175" s="21"/>
      <c r="AA175" s="5"/>
    </row>
    <row r="176" spans="3:27" x14ac:dyDescent="0.25">
      <c r="C176" s="10"/>
      <c r="F176" s="17"/>
      <c r="M176" s="17"/>
      <c r="S176" s="17"/>
      <c r="U176" s="4"/>
      <c r="X176" s="17"/>
      <c r="Z176" s="21"/>
      <c r="AA176" s="5"/>
    </row>
    <row r="177" spans="3:27" x14ac:dyDescent="0.25">
      <c r="C177" s="10"/>
      <c r="F177" s="17"/>
      <c r="M177" s="17"/>
      <c r="S177" s="17"/>
      <c r="U177" s="4"/>
      <c r="X177" s="17"/>
      <c r="Z177" s="21"/>
      <c r="AA177" s="5"/>
    </row>
    <row r="178" spans="3:27" x14ac:dyDescent="0.25">
      <c r="C178" s="10"/>
      <c r="F178" s="17"/>
      <c r="M178" s="17"/>
      <c r="S178" s="17"/>
      <c r="U178" s="4"/>
      <c r="X178" s="17"/>
      <c r="Z178" s="21"/>
      <c r="AA178" s="5"/>
    </row>
    <row r="179" spans="3:27" x14ac:dyDescent="0.25">
      <c r="C179" s="10"/>
      <c r="F179" s="17"/>
      <c r="M179" s="17"/>
      <c r="S179" s="17"/>
      <c r="U179" s="4"/>
      <c r="X179" s="17"/>
      <c r="Z179" s="21"/>
      <c r="AA179" s="5"/>
    </row>
    <row r="180" spans="3:27" x14ac:dyDescent="0.25">
      <c r="C180" s="10"/>
      <c r="F180" s="17"/>
      <c r="M180" s="17"/>
      <c r="S180" s="17"/>
      <c r="U180" s="4"/>
      <c r="X180" s="17"/>
      <c r="Z180" s="21"/>
      <c r="AA180" s="5"/>
    </row>
    <row r="181" spans="3:27" x14ac:dyDescent="0.25">
      <c r="C181" s="10"/>
      <c r="F181" s="17"/>
      <c r="M181" s="17"/>
      <c r="S181" s="17"/>
      <c r="U181" s="4"/>
      <c r="X181" s="17"/>
      <c r="Z181" s="21"/>
      <c r="AA181" s="5"/>
    </row>
    <row r="182" spans="3:27" x14ac:dyDescent="0.25">
      <c r="C182" s="10"/>
      <c r="F182" s="17"/>
      <c r="M182" s="17"/>
      <c r="S182" s="17"/>
      <c r="U182" s="4"/>
      <c r="X182" s="17"/>
      <c r="Z182" s="21"/>
      <c r="AA182" s="5"/>
    </row>
    <row r="183" spans="3:27" x14ac:dyDescent="0.25">
      <c r="C183" s="10"/>
      <c r="F183" s="17"/>
      <c r="M183" s="17"/>
      <c r="S183" s="17"/>
      <c r="U183" s="4"/>
      <c r="X183" s="17"/>
      <c r="Z183" s="21"/>
      <c r="AA183" s="5"/>
    </row>
    <row r="184" spans="3:27" x14ac:dyDescent="0.25">
      <c r="C184" s="10"/>
      <c r="F184" s="17"/>
      <c r="M184" s="17"/>
      <c r="S184" s="17"/>
      <c r="U184" s="4"/>
      <c r="X184" s="17"/>
      <c r="Z184" s="21"/>
      <c r="AA184" s="5"/>
    </row>
    <row r="185" spans="3:27" x14ac:dyDescent="0.25">
      <c r="C185" s="10"/>
      <c r="F185" s="17"/>
      <c r="M185" s="17"/>
      <c r="S185" s="17"/>
      <c r="U185" s="4"/>
      <c r="X185" s="17"/>
      <c r="Z185" s="21"/>
      <c r="AA185" s="5"/>
    </row>
    <row r="186" spans="3:27" x14ac:dyDescent="0.25">
      <c r="C186" s="10"/>
      <c r="F186" s="17"/>
      <c r="M186" s="17"/>
      <c r="S186" s="17"/>
      <c r="U186" s="4"/>
      <c r="X186" s="17"/>
      <c r="Z186" s="21"/>
      <c r="AA186" s="5"/>
    </row>
    <row r="187" spans="3:27" x14ac:dyDescent="0.25">
      <c r="C187" s="10"/>
      <c r="F187" s="17"/>
      <c r="M187" s="17"/>
      <c r="S187" s="17"/>
      <c r="U187" s="4"/>
      <c r="X187" s="17"/>
      <c r="Z187" s="21"/>
      <c r="AA187" s="5"/>
    </row>
    <row r="188" spans="3:27" x14ac:dyDescent="0.25">
      <c r="C188" s="10"/>
      <c r="F188" s="17"/>
      <c r="M188" s="17"/>
      <c r="S188" s="17"/>
      <c r="U188" s="4"/>
      <c r="X188" s="17"/>
      <c r="Z188" s="21"/>
      <c r="AA188" s="5"/>
    </row>
    <row r="189" spans="3:27" x14ac:dyDescent="0.25">
      <c r="C189" s="10"/>
      <c r="F189" s="17"/>
      <c r="M189" s="17"/>
      <c r="S189" s="17"/>
      <c r="U189" s="4"/>
      <c r="X189" s="17"/>
      <c r="Z189" s="21"/>
      <c r="AA189" s="5"/>
    </row>
    <row r="190" spans="3:27" x14ac:dyDescent="0.25">
      <c r="C190" s="10"/>
      <c r="F190" s="17"/>
      <c r="M190" s="17"/>
      <c r="S190" s="17"/>
      <c r="U190" s="4"/>
      <c r="X190" s="17"/>
      <c r="Z190" s="21"/>
      <c r="AA190" s="5"/>
    </row>
    <row r="191" spans="3:27" x14ac:dyDescent="0.25">
      <c r="C191" s="10"/>
      <c r="F191" s="17"/>
      <c r="M191" s="17"/>
      <c r="S191" s="17"/>
      <c r="U191" s="4"/>
      <c r="X191" s="17"/>
      <c r="Z191" s="21"/>
      <c r="AA191" s="5"/>
    </row>
    <row r="192" spans="3:27" x14ac:dyDescent="0.25">
      <c r="C192" s="10"/>
      <c r="F192" s="17"/>
      <c r="M192" s="17"/>
      <c r="S192" s="17"/>
      <c r="U192" s="4"/>
      <c r="X192" s="17"/>
      <c r="Z192" s="21"/>
      <c r="AA192" s="5"/>
    </row>
    <row r="193" spans="3:27" x14ac:dyDescent="0.25">
      <c r="C193" s="10"/>
      <c r="F193" s="17"/>
      <c r="M193" s="17"/>
      <c r="S193" s="17"/>
      <c r="U193" s="4"/>
      <c r="X193" s="17"/>
      <c r="Z193" s="21"/>
      <c r="AA193" s="5"/>
    </row>
    <row r="194" spans="3:27" x14ac:dyDescent="0.25">
      <c r="C194" s="10"/>
      <c r="F194" s="17"/>
      <c r="M194" s="17"/>
      <c r="S194" s="17"/>
      <c r="U194" s="4"/>
      <c r="X194" s="17"/>
      <c r="Z194" s="21"/>
      <c r="AA194" s="5"/>
    </row>
    <row r="195" spans="3:27" x14ac:dyDescent="0.25">
      <c r="C195" s="10"/>
      <c r="F195" s="17"/>
      <c r="M195" s="17"/>
      <c r="S195" s="17"/>
      <c r="U195" s="4"/>
      <c r="X195" s="17"/>
      <c r="Z195" s="21"/>
      <c r="AA195" s="5"/>
    </row>
    <row r="196" spans="3:27" x14ac:dyDescent="0.25">
      <c r="C196" s="10"/>
      <c r="F196" s="17"/>
      <c r="M196" s="17"/>
      <c r="S196" s="17"/>
      <c r="U196" s="4"/>
      <c r="X196" s="17"/>
      <c r="Z196" s="21"/>
      <c r="AA196" s="5"/>
    </row>
    <row r="197" spans="3:27" x14ac:dyDescent="0.25">
      <c r="C197" s="10"/>
      <c r="F197" s="17"/>
      <c r="M197" s="17"/>
      <c r="S197" s="17"/>
      <c r="U197" s="4"/>
      <c r="X197" s="17"/>
      <c r="Z197" s="21"/>
      <c r="AA197" s="5"/>
    </row>
    <row r="198" spans="3:27" x14ac:dyDescent="0.25">
      <c r="C198" s="10"/>
      <c r="F198" s="17"/>
      <c r="M198" s="17"/>
      <c r="S198" s="17"/>
      <c r="U198" s="4"/>
      <c r="X198" s="17"/>
      <c r="Z198" s="21"/>
      <c r="AA198" s="5"/>
    </row>
    <row r="199" spans="3:27" x14ac:dyDescent="0.25">
      <c r="C199" s="10"/>
      <c r="F199" s="17"/>
      <c r="M199" s="17"/>
      <c r="S199" s="17"/>
      <c r="U199" s="4"/>
      <c r="X199" s="17"/>
      <c r="Z199" s="21"/>
      <c r="AA199" s="5"/>
    </row>
    <row r="200" spans="3:27" x14ac:dyDescent="0.25">
      <c r="C200" s="10"/>
      <c r="F200" s="17"/>
      <c r="M200" s="17"/>
      <c r="S200" s="17"/>
      <c r="U200" s="4"/>
      <c r="X200" s="17"/>
      <c r="Z200" s="21"/>
      <c r="AA200" s="5"/>
    </row>
    <row r="201" spans="3:27" x14ac:dyDescent="0.25">
      <c r="C201" s="10"/>
      <c r="F201" s="17"/>
      <c r="M201" s="17"/>
      <c r="S201" s="17"/>
      <c r="U201" s="4"/>
      <c r="X201" s="17"/>
      <c r="Z201" s="21"/>
      <c r="AA201" s="5"/>
    </row>
    <row r="202" spans="3:27" x14ac:dyDescent="0.25">
      <c r="C202" s="10"/>
      <c r="F202" s="17"/>
      <c r="M202" s="17"/>
      <c r="S202" s="17"/>
      <c r="U202" s="4"/>
      <c r="X202" s="17"/>
      <c r="Z202" s="21"/>
      <c r="AA202" s="5"/>
    </row>
    <row r="203" spans="3:27" x14ac:dyDescent="0.25">
      <c r="C203" s="10"/>
      <c r="F203" s="17"/>
      <c r="M203" s="17"/>
      <c r="S203" s="17"/>
      <c r="U203" s="4"/>
      <c r="X203" s="17"/>
      <c r="Z203" s="21"/>
      <c r="AA203" s="5"/>
    </row>
    <row r="204" spans="3:27" x14ac:dyDescent="0.25">
      <c r="C204" s="10"/>
      <c r="F204" s="17"/>
      <c r="M204" s="17"/>
      <c r="S204" s="17"/>
      <c r="U204" s="4"/>
      <c r="X204" s="17"/>
      <c r="Z204" s="21"/>
      <c r="AA204" s="5"/>
    </row>
    <row r="205" spans="3:27" x14ac:dyDescent="0.25">
      <c r="C205" s="10"/>
      <c r="F205" s="17"/>
      <c r="M205" s="17"/>
      <c r="S205" s="17"/>
      <c r="U205" s="4"/>
      <c r="X205" s="17"/>
      <c r="Z205" s="21"/>
      <c r="AA205" s="5"/>
    </row>
    <row r="206" spans="3:27" x14ac:dyDescent="0.25">
      <c r="C206" s="10"/>
      <c r="F206" s="17"/>
      <c r="M206" s="17"/>
      <c r="S206" s="17"/>
      <c r="U206" s="4"/>
      <c r="X206" s="17"/>
      <c r="Z206" s="21"/>
      <c r="AA206" s="5"/>
    </row>
    <row r="207" spans="3:27" x14ac:dyDescent="0.25">
      <c r="C207" s="10"/>
      <c r="F207" s="17"/>
      <c r="M207" s="17"/>
      <c r="S207" s="17"/>
      <c r="U207" s="4"/>
      <c r="X207" s="17"/>
      <c r="Z207" s="21"/>
      <c r="AA207" s="5"/>
    </row>
    <row r="208" spans="3:27" x14ac:dyDescent="0.25">
      <c r="C208" s="10"/>
      <c r="F208" s="17"/>
      <c r="M208" s="17"/>
      <c r="S208" s="17"/>
      <c r="U208" s="4"/>
      <c r="X208" s="17"/>
      <c r="Z208" s="21"/>
      <c r="AA208" s="5"/>
    </row>
    <row r="209" spans="3:27" x14ac:dyDescent="0.25">
      <c r="C209" s="10"/>
      <c r="F209" s="17"/>
      <c r="M209" s="17"/>
      <c r="S209" s="17"/>
      <c r="U209" s="4"/>
      <c r="X209" s="17"/>
      <c r="Z209" s="21"/>
      <c r="AA209" s="5"/>
    </row>
    <row r="210" spans="3:27" x14ac:dyDescent="0.25">
      <c r="C210" s="10"/>
      <c r="F210" s="17"/>
      <c r="M210" s="17"/>
      <c r="S210" s="17"/>
      <c r="U210" s="4"/>
      <c r="X210" s="17"/>
      <c r="Z210" s="21"/>
      <c r="AA210" s="5"/>
    </row>
    <row r="211" spans="3:27" x14ac:dyDescent="0.25">
      <c r="C211" s="10"/>
      <c r="F211" s="17"/>
      <c r="M211" s="17"/>
      <c r="S211" s="17"/>
      <c r="U211" s="4"/>
      <c r="X211" s="17"/>
      <c r="Z211" s="21"/>
      <c r="AA211" s="5"/>
    </row>
    <row r="212" spans="3:27" x14ac:dyDescent="0.25">
      <c r="C212" s="10"/>
      <c r="F212" s="17"/>
      <c r="M212" s="17"/>
      <c r="S212" s="17"/>
      <c r="U212" s="4"/>
      <c r="X212" s="17"/>
      <c r="Z212" s="21"/>
      <c r="AA212" s="5"/>
    </row>
    <row r="213" spans="3:27" x14ac:dyDescent="0.25">
      <c r="C213" s="10"/>
      <c r="F213" s="17"/>
      <c r="M213" s="17"/>
      <c r="S213" s="17"/>
      <c r="U213" s="4"/>
      <c r="X213" s="17"/>
      <c r="Z213" s="21"/>
      <c r="AA213" s="5"/>
    </row>
    <row r="214" spans="3:27" x14ac:dyDescent="0.25">
      <c r="C214" s="10"/>
      <c r="F214" s="17"/>
      <c r="M214" s="17"/>
      <c r="S214" s="17"/>
      <c r="U214" s="4"/>
      <c r="X214" s="17"/>
      <c r="Z214" s="21"/>
      <c r="AA214" s="5"/>
    </row>
    <row r="215" spans="3:27" x14ac:dyDescent="0.25">
      <c r="C215" s="10"/>
      <c r="F215" s="17"/>
      <c r="M215" s="17"/>
      <c r="S215" s="17"/>
      <c r="U215" s="4"/>
      <c r="X215" s="17"/>
      <c r="Z215" s="21"/>
      <c r="AA215" s="5"/>
    </row>
    <row r="216" spans="3:27" x14ac:dyDescent="0.25">
      <c r="C216" s="10"/>
      <c r="F216" s="17"/>
      <c r="M216" s="17"/>
      <c r="S216" s="17"/>
      <c r="U216" s="4"/>
      <c r="X216" s="17"/>
      <c r="Z216" s="21"/>
      <c r="AA216" s="5"/>
    </row>
    <row r="217" spans="3:27" x14ac:dyDescent="0.25">
      <c r="C217" s="10"/>
      <c r="F217" s="17"/>
      <c r="M217" s="17"/>
      <c r="S217" s="17"/>
      <c r="U217" s="4"/>
      <c r="X217" s="17"/>
      <c r="Z217" s="21"/>
      <c r="AA217" s="5"/>
    </row>
    <row r="218" spans="3:27" x14ac:dyDescent="0.25">
      <c r="C218" s="10"/>
      <c r="F218" s="17"/>
      <c r="M218" s="17"/>
      <c r="S218" s="17"/>
      <c r="U218" s="4"/>
      <c r="X218" s="17"/>
      <c r="Z218" s="21"/>
      <c r="AA218" s="5"/>
    </row>
    <row r="219" spans="3:27" x14ac:dyDescent="0.25">
      <c r="C219" s="10"/>
      <c r="F219" s="17"/>
      <c r="M219" s="17"/>
      <c r="S219" s="17"/>
      <c r="U219" s="4"/>
      <c r="X219" s="17"/>
      <c r="Z219" s="21"/>
      <c r="AA219" s="5"/>
    </row>
    <row r="220" spans="3:27" x14ac:dyDescent="0.25">
      <c r="C220" s="10"/>
      <c r="F220" s="17"/>
      <c r="M220" s="17"/>
      <c r="S220" s="17"/>
      <c r="U220" s="4"/>
      <c r="X220" s="17"/>
      <c r="Z220" s="21"/>
      <c r="AA220" s="5"/>
    </row>
    <row r="221" spans="3:27" x14ac:dyDescent="0.25">
      <c r="C221" s="10"/>
      <c r="F221" s="17"/>
      <c r="M221" s="17"/>
      <c r="S221" s="17"/>
      <c r="U221" s="4"/>
      <c r="X221" s="17"/>
      <c r="Z221" s="21"/>
      <c r="AA221" s="5"/>
    </row>
    <row r="222" spans="3:27" x14ac:dyDescent="0.25">
      <c r="C222" s="10"/>
      <c r="F222" s="17"/>
      <c r="M222" s="17"/>
      <c r="S222" s="17"/>
      <c r="U222" s="4"/>
      <c r="X222" s="17"/>
      <c r="Z222" s="21"/>
      <c r="AA222" s="5"/>
    </row>
    <row r="223" spans="3:27" x14ac:dyDescent="0.25">
      <c r="C223" s="10"/>
      <c r="F223" s="17"/>
      <c r="M223" s="17"/>
      <c r="S223" s="17"/>
      <c r="U223" s="4"/>
      <c r="X223" s="17"/>
      <c r="Z223" s="21"/>
      <c r="AA223" s="5"/>
    </row>
    <row r="224" spans="3:27" x14ac:dyDescent="0.25">
      <c r="C224" s="10"/>
      <c r="F224" s="17"/>
      <c r="M224" s="17"/>
      <c r="S224" s="17"/>
      <c r="U224" s="4"/>
      <c r="X224" s="17"/>
      <c r="Z224" s="21"/>
      <c r="AA224" s="5"/>
    </row>
    <row r="225" spans="3:27" x14ac:dyDescent="0.25">
      <c r="C225" s="10"/>
      <c r="F225" s="17"/>
      <c r="M225" s="17"/>
      <c r="S225" s="17"/>
      <c r="U225" s="4"/>
      <c r="X225" s="17"/>
      <c r="Z225" s="21"/>
      <c r="AA225" s="5"/>
    </row>
    <row r="226" spans="3:27" x14ac:dyDescent="0.25">
      <c r="C226" s="10"/>
      <c r="F226" s="17"/>
      <c r="M226" s="17"/>
      <c r="S226" s="17"/>
      <c r="U226" s="4"/>
      <c r="X226" s="17"/>
      <c r="Z226" s="21"/>
      <c r="AA226" s="5"/>
    </row>
    <row r="227" spans="3:27" x14ac:dyDescent="0.25">
      <c r="C227" s="10"/>
      <c r="F227" s="17"/>
      <c r="M227" s="17"/>
      <c r="S227" s="17"/>
      <c r="U227" s="4"/>
      <c r="X227" s="17"/>
      <c r="Z227" s="21"/>
      <c r="AA227" s="5"/>
    </row>
    <row r="228" spans="3:27" x14ac:dyDescent="0.25">
      <c r="C228" s="10"/>
      <c r="F228" s="17"/>
      <c r="M228" s="17"/>
      <c r="S228" s="17"/>
      <c r="U228" s="4"/>
      <c r="X228" s="17"/>
      <c r="Z228" s="21"/>
      <c r="AA228" s="5"/>
    </row>
    <row r="229" spans="3:27" x14ac:dyDescent="0.25">
      <c r="C229" s="10"/>
      <c r="F229" s="17"/>
      <c r="M229" s="17"/>
      <c r="S229" s="17"/>
      <c r="U229" s="4"/>
      <c r="X229" s="17"/>
      <c r="Z229" s="21"/>
      <c r="AA229" s="5"/>
    </row>
    <row r="230" spans="3:27" x14ac:dyDescent="0.25">
      <c r="C230" s="10"/>
      <c r="F230" s="17"/>
      <c r="M230" s="17"/>
      <c r="S230" s="17"/>
      <c r="U230" s="4"/>
      <c r="X230" s="17"/>
      <c r="Z230" s="21"/>
      <c r="AA230" s="5"/>
    </row>
    <row r="231" spans="3:27" x14ac:dyDescent="0.25">
      <c r="C231" s="10"/>
      <c r="F231" s="17"/>
      <c r="M231" s="17"/>
      <c r="S231" s="17"/>
      <c r="U231" s="4"/>
      <c r="X231" s="17"/>
      <c r="Z231" s="21"/>
      <c r="AA231" s="5"/>
    </row>
    <row r="232" spans="3:27" x14ac:dyDescent="0.25">
      <c r="C232" s="10"/>
      <c r="F232" s="17"/>
      <c r="M232" s="17"/>
      <c r="S232" s="17"/>
      <c r="U232" s="4"/>
      <c r="X232" s="17"/>
      <c r="Z232" s="21"/>
      <c r="AA232" s="5"/>
    </row>
    <row r="233" spans="3:27" x14ac:dyDescent="0.25">
      <c r="C233" s="10"/>
      <c r="F233" s="17"/>
      <c r="M233" s="17"/>
      <c r="S233" s="17"/>
      <c r="U233" s="4"/>
      <c r="X233" s="17"/>
      <c r="Z233" s="21"/>
      <c r="AA233" s="5"/>
    </row>
    <row r="234" spans="3:27" x14ac:dyDescent="0.25">
      <c r="C234" s="10"/>
      <c r="F234" s="17"/>
      <c r="M234" s="17"/>
      <c r="S234" s="17"/>
      <c r="U234" s="4"/>
      <c r="X234" s="17"/>
      <c r="Z234" s="21"/>
      <c r="AA234" s="5"/>
    </row>
    <row r="235" spans="3:27" x14ac:dyDescent="0.25">
      <c r="C235" s="10"/>
      <c r="F235" s="17"/>
      <c r="M235" s="17"/>
      <c r="S235" s="17"/>
      <c r="U235" s="4"/>
      <c r="X235" s="17"/>
      <c r="Z235" s="21"/>
      <c r="AA235" s="5"/>
    </row>
    <row r="236" spans="3:27" x14ac:dyDescent="0.25">
      <c r="C236" s="10"/>
      <c r="F236" s="17"/>
      <c r="M236" s="17"/>
      <c r="S236" s="17"/>
      <c r="U236" s="4"/>
      <c r="X236" s="17"/>
      <c r="Z236" s="21"/>
      <c r="AA236" s="5"/>
    </row>
    <row r="237" spans="3:27" x14ac:dyDescent="0.25">
      <c r="C237" s="10"/>
      <c r="F237" s="17"/>
      <c r="M237" s="17"/>
      <c r="S237" s="17"/>
      <c r="U237" s="4"/>
      <c r="X237" s="17"/>
      <c r="Z237" s="21"/>
      <c r="AA237" s="5"/>
    </row>
    <row r="238" spans="3:27" x14ac:dyDescent="0.25">
      <c r="C238" s="10"/>
      <c r="F238" s="17"/>
      <c r="M238" s="17"/>
      <c r="S238" s="17"/>
      <c r="U238" s="4"/>
      <c r="X238" s="17"/>
      <c r="Z238" s="21"/>
      <c r="AA238" s="5"/>
    </row>
    <row r="239" spans="3:27" x14ac:dyDescent="0.25">
      <c r="C239" s="10"/>
      <c r="F239" s="17"/>
      <c r="M239" s="17"/>
      <c r="S239" s="17"/>
      <c r="U239" s="4"/>
      <c r="X239" s="17"/>
      <c r="Z239" s="21"/>
      <c r="AA239" s="5"/>
    </row>
    <row r="240" spans="3:27" x14ac:dyDescent="0.25">
      <c r="C240" s="10"/>
      <c r="F240" s="17"/>
      <c r="M240" s="17"/>
      <c r="S240" s="17"/>
      <c r="U240" s="4"/>
      <c r="X240" s="17"/>
      <c r="Z240" s="21"/>
      <c r="AA240" s="5"/>
    </row>
    <row r="241" spans="3:27" x14ac:dyDescent="0.25">
      <c r="C241" s="10"/>
      <c r="F241" s="17"/>
      <c r="M241" s="17"/>
      <c r="S241" s="17"/>
      <c r="U241" s="4"/>
      <c r="X241" s="17"/>
      <c r="Z241" s="21"/>
      <c r="AA241" s="5"/>
    </row>
    <row r="242" spans="3:27" x14ac:dyDescent="0.25">
      <c r="C242" s="10"/>
      <c r="F242" s="17"/>
      <c r="M242" s="17"/>
      <c r="S242" s="17"/>
      <c r="U242" s="4"/>
      <c r="X242" s="17"/>
      <c r="Z242" s="21"/>
      <c r="AA242" s="5"/>
    </row>
    <row r="243" spans="3:27" x14ac:dyDescent="0.25">
      <c r="C243" s="10"/>
      <c r="F243" s="17"/>
      <c r="M243" s="17"/>
      <c r="S243" s="17"/>
      <c r="U243" s="4"/>
      <c r="X243" s="17"/>
      <c r="Z243" s="21"/>
      <c r="AA243" s="5"/>
    </row>
    <row r="244" spans="3:27" x14ac:dyDescent="0.25">
      <c r="C244" s="10"/>
      <c r="F244" s="17"/>
      <c r="M244" s="17"/>
      <c r="S244" s="17"/>
      <c r="U244" s="4"/>
      <c r="X244" s="17"/>
      <c r="Z244" s="21"/>
      <c r="AA244" s="5"/>
    </row>
    <row r="245" spans="3:27" x14ac:dyDescent="0.25">
      <c r="C245" s="10"/>
      <c r="F245" s="17"/>
      <c r="M245" s="17"/>
      <c r="S245" s="17"/>
      <c r="U245" s="4"/>
      <c r="X245" s="17"/>
      <c r="Z245" s="21"/>
      <c r="AA245" s="5"/>
    </row>
    <row r="246" spans="3:27" x14ac:dyDescent="0.25">
      <c r="C246" s="10"/>
      <c r="F246" s="17"/>
      <c r="M246" s="17"/>
      <c r="S246" s="17"/>
      <c r="U246" s="4"/>
      <c r="X246" s="17"/>
      <c r="Z246" s="21"/>
      <c r="AA246" s="5"/>
    </row>
    <row r="247" spans="3:27" x14ac:dyDescent="0.25">
      <c r="C247" s="10"/>
      <c r="F247" s="17"/>
      <c r="M247" s="17"/>
      <c r="S247" s="17"/>
      <c r="U247" s="4"/>
      <c r="X247" s="17"/>
      <c r="Z247" s="21"/>
      <c r="AA247" s="5"/>
    </row>
    <row r="248" spans="3:27" x14ac:dyDescent="0.25">
      <c r="C248" s="10"/>
      <c r="F248" s="17"/>
      <c r="M248" s="17"/>
      <c r="S248" s="17"/>
      <c r="U248" s="4"/>
      <c r="X248" s="17"/>
      <c r="Z248" s="21"/>
      <c r="AA248" s="5"/>
    </row>
    <row r="249" spans="3:27" x14ac:dyDescent="0.25">
      <c r="C249" s="10"/>
      <c r="F249" s="17"/>
      <c r="M249" s="17"/>
      <c r="S249" s="17"/>
      <c r="U249" s="4"/>
      <c r="X249" s="17"/>
      <c r="Z249" s="21"/>
      <c r="AA249" s="5"/>
    </row>
    <row r="250" spans="3:27" x14ac:dyDescent="0.25">
      <c r="C250" s="10"/>
      <c r="F250" s="17"/>
      <c r="M250" s="17"/>
      <c r="S250" s="17"/>
      <c r="U250" s="4"/>
      <c r="X250" s="17"/>
      <c r="Z250" s="21"/>
      <c r="AA250" s="5"/>
    </row>
    <row r="251" spans="3:27" x14ac:dyDescent="0.25">
      <c r="C251" s="10"/>
      <c r="F251" s="17"/>
      <c r="M251" s="17"/>
      <c r="S251" s="17"/>
      <c r="U251" s="4"/>
      <c r="X251" s="17"/>
      <c r="Z251" s="21"/>
      <c r="AA251" s="5"/>
    </row>
    <row r="252" spans="3:27" x14ac:dyDescent="0.25">
      <c r="C252" s="10"/>
      <c r="F252" s="17"/>
      <c r="M252" s="17"/>
      <c r="S252" s="17"/>
      <c r="U252" s="4"/>
      <c r="X252" s="17"/>
      <c r="Z252" s="21"/>
      <c r="AA252" s="5"/>
    </row>
    <row r="253" spans="3:27" x14ac:dyDescent="0.25">
      <c r="C253" s="10"/>
      <c r="F253" s="17"/>
      <c r="M253" s="17"/>
      <c r="S253" s="17"/>
      <c r="U253" s="4"/>
      <c r="X253" s="17"/>
      <c r="Z253" s="21"/>
      <c r="AA253" s="5"/>
    </row>
    <row r="254" spans="3:27" x14ac:dyDescent="0.25">
      <c r="C254" s="10"/>
      <c r="F254" s="17"/>
      <c r="M254" s="17"/>
      <c r="S254" s="17"/>
      <c r="U254" s="4"/>
      <c r="X254" s="17"/>
      <c r="Z254" s="21"/>
      <c r="AA254" s="5"/>
    </row>
    <row r="255" spans="3:27" x14ac:dyDescent="0.25">
      <c r="C255" s="10"/>
      <c r="F255" s="17"/>
      <c r="M255" s="17"/>
      <c r="S255" s="17"/>
      <c r="U255" s="4"/>
      <c r="X255" s="17"/>
      <c r="Z255" s="21"/>
      <c r="AA255" s="5"/>
    </row>
    <row r="256" spans="3:27" x14ac:dyDescent="0.25">
      <c r="C256" s="10"/>
      <c r="F256" s="17"/>
      <c r="M256" s="17"/>
      <c r="S256" s="17"/>
      <c r="U256" s="4"/>
      <c r="X256" s="17"/>
      <c r="Z256" s="21"/>
      <c r="AA256" s="5"/>
    </row>
    <row r="257" spans="3:27" x14ac:dyDescent="0.25">
      <c r="C257" s="10"/>
      <c r="F257" s="17"/>
      <c r="M257" s="17"/>
      <c r="S257" s="17"/>
      <c r="U257" s="4"/>
      <c r="X257" s="17"/>
      <c r="Z257" s="21"/>
      <c r="AA257" s="5"/>
    </row>
    <row r="258" spans="3:27" x14ac:dyDescent="0.25">
      <c r="C258" s="10"/>
      <c r="F258" s="17"/>
      <c r="M258" s="17"/>
      <c r="S258" s="17"/>
      <c r="U258" s="4"/>
      <c r="X258" s="17"/>
      <c r="Z258" s="21"/>
      <c r="AA258" s="5"/>
    </row>
    <row r="259" spans="3:27" x14ac:dyDescent="0.25">
      <c r="C259" s="10"/>
      <c r="F259" s="17"/>
      <c r="M259" s="17"/>
      <c r="S259" s="17"/>
      <c r="U259" s="4"/>
      <c r="X259" s="17"/>
      <c r="Z259" s="21"/>
      <c r="AA259" s="5"/>
    </row>
    <row r="260" spans="3:27" x14ac:dyDescent="0.25">
      <c r="C260" s="10"/>
      <c r="F260" s="17"/>
      <c r="M260" s="17"/>
      <c r="S260" s="17"/>
      <c r="U260" s="4"/>
      <c r="X260" s="17"/>
      <c r="Z260" s="21"/>
      <c r="AA260" s="5"/>
    </row>
    <row r="261" spans="3:27" x14ac:dyDescent="0.25">
      <c r="C261" s="10"/>
      <c r="F261" s="17"/>
      <c r="M261" s="17"/>
      <c r="S261" s="17"/>
      <c r="U261" s="4"/>
      <c r="X261" s="17"/>
      <c r="Z261" s="21"/>
      <c r="AA261" s="5"/>
    </row>
    <row r="262" spans="3:27" x14ac:dyDescent="0.25">
      <c r="C262" s="10"/>
      <c r="F262" s="17"/>
      <c r="M262" s="17"/>
      <c r="S262" s="17"/>
      <c r="U262" s="4"/>
      <c r="X262" s="17"/>
      <c r="Z262" s="21"/>
      <c r="AA262" s="5"/>
    </row>
    <row r="263" spans="3:27" x14ac:dyDescent="0.25">
      <c r="C263" s="10"/>
      <c r="F263" s="17"/>
      <c r="M263" s="17"/>
      <c r="S263" s="17"/>
      <c r="U263" s="4"/>
      <c r="X263" s="17"/>
      <c r="Z263" s="21"/>
      <c r="AA263" s="5"/>
    </row>
    <row r="264" spans="3:27" x14ac:dyDescent="0.25">
      <c r="C264" s="10"/>
      <c r="F264" s="17"/>
      <c r="M264" s="17"/>
      <c r="S264" s="17"/>
      <c r="U264" s="4"/>
      <c r="X264" s="17"/>
      <c r="Z264" s="21"/>
      <c r="AA264" s="5"/>
    </row>
    <row r="265" spans="3:27" x14ac:dyDescent="0.25">
      <c r="C265" s="10"/>
      <c r="F265" s="17"/>
      <c r="M265" s="17"/>
      <c r="S265" s="17"/>
      <c r="U265" s="4"/>
      <c r="X265" s="17"/>
      <c r="Z265" s="21"/>
      <c r="AA265" s="5"/>
    </row>
    <row r="266" spans="3:27" x14ac:dyDescent="0.25">
      <c r="C266" s="10"/>
      <c r="F266" s="17"/>
      <c r="M266" s="17"/>
      <c r="S266" s="17"/>
      <c r="U266" s="4"/>
      <c r="X266" s="17"/>
      <c r="Z266" s="21"/>
      <c r="AA266" s="5"/>
    </row>
    <row r="267" spans="3:27" x14ac:dyDescent="0.25">
      <c r="C267" s="10"/>
      <c r="F267" s="17"/>
      <c r="M267" s="17"/>
      <c r="S267" s="17"/>
      <c r="U267" s="4"/>
      <c r="X267" s="17"/>
      <c r="Z267" s="21"/>
      <c r="AA267" s="5"/>
    </row>
    <row r="268" spans="3:27" x14ac:dyDescent="0.25">
      <c r="C268" s="10"/>
      <c r="F268" s="17"/>
      <c r="M268" s="17"/>
      <c r="S268" s="17"/>
      <c r="U268" s="4"/>
      <c r="X268" s="17"/>
      <c r="Z268" s="21"/>
      <c r="AA268" s="5"/>
    </row>
    <row r="269" spans="3:27" x14ac:dyDescent="0.25">
      <c r="C269" s="10"/>
      <c r="F269" s="17"/>
      <c r="M269" s="17"/>
      <c r="S269" s="17"/>
      <c r="U269" s="4"/>
      <c r="X269" s="17"/>
      <c r="Z269" s="21"/>
      <c r="AA269" s="5"/>
    </row>
    <row r="270" spans="3:27" x14ac:dyDescent="0.25">
      <c r="C270" s="10"/>
      <c r="F270" s="17"/>
      <c r="M270" s="17"/>
      <c r="S270" s="17"/>
      <c r="U270" s="4"/>
      <c r="X270" s="17"/>
      <c r="Z270" s="21"/>
      <c r="AA270" s="5"/>
    </row>
    <row r="271" spans="3:27" x14ac:dyDescent="0.25">
      <c r="C271" s="10"/>
      <c r="F271" s="17"/>
      <c r="M271" s="17"/>
      <c r="S271" s="17"/>
      <c r="U271" s="4"/>
      <c r="X271" s="17"/>
      <c r="Z271" s="21"/>
      <c r="AA271" s="5"/>
    </row>
    <row r="272" spans="3:27" x14ac:dyDescent="0.25">
      <c r="C272" s="10"/>
      <c r="F272" s="17"/>
      <c r="M272" s="17"/>
      <c r="S272" s="17"/>
      <c r="U272" s="4"/>
      <c r="X272" s="17"/>
      <c r="Z272" s="21"/>
      <c r="AA272" s="5"/>
    </row>
    <row r="273" spans="3:27" x14ac:dyDescent="0.25">
      <c r="C273" s="10"/>
      <c r="F273" s="17"/>
      <c r="M273" s="17"/>
      <c r="S273" s="17"/>
      <c r="U273" s="4"/>
      <c r="X273" s="17"/>
      <c r="Z273" s="21"/>
      <c r="AA273" s="5"/>
    </row>
    <row r="274" spans="3:27" x14ac:dyDescent="0.25">
      <c r="C274" s="10"/>
      <c r="F274" s="17"/>
      <c r="M274" s="17"/>
      <c r="S274" s="17"/>
      <c r="U274" s="4"/>
      <c r="X274" s="17"/>
      <c r="Z274" s="21"/>
      <c r="AA274" s="5"/>
    </row>
    <row r="275" spans="3:27" x14ac:dyDescent="0.25">
      <c r="C275" s="10"/>
      <c r="F275" s="17"/>
      <c r="M275" s="17"/>
      <c r="S275" s="17"/>
      <c r="U275" s="4"/>
      <c r="X275" s="17"/>
      <c r="Z275" s="21"/>
      <c r="AA275" s="5"/>
    </row>
    <row r="276" spans="3:27" x14ac:dyDescent="0.25">
      <c r="C276" s="10"/>
      <c r="F276" s="17"/>
      <c r="M276" s="17"/>
      <c r="S276" s="17"/>
      <c r="U276" s="4"/>
      <c r="X276" s="17"/>
      <c r="Z276" s="21"/>
      <c r="AA276" s="5"/>
    </row>
    <row r="277" spans="3:27" x14ac:dyDescent="0.25">
      <c r="C277" s="10"/>
      <c r="F277" s="17"/>
      <c r="M277" s="17"/>
      <c r="S277" s="17"/>
      <c r="U277" s="4"/>
      <c r="X277" s="17"/>
      <c r="Z277" s="21"/>
      <c r="AA277" s="5"/>
    </row>
    <row r="278" spans="3:27" x14ac:dyDescent="0.25">
      <c r="C278" s="10"/>
      <c r="F278" s="17"/>
      <c r="M278" s="17"/>
      <c r="S278" s="17"/>
      <c r="U278" s="4"/>
      <c r="X278" s="17"/>
      <c r="Z278" s="21"/>
      <c r="AA278" s="5"/>
    </row>
    <row r="279" spans="3:27" x14ac:dyDescent="0.25">
      <c r="C279" s="10"/>
      <c r="F279" s="17"/>
      <c r="M279" s="17"/>
      <c r="S279" s="17"/>
      <c r="U279" s="4"/>
      <c r="X279" s="17"/>
      <c r="Z279" s="21"/>
      <c r="AA279" s="5"/>
    </row>
    <row r="280" spans="3:27" x14ac:dyDescent="0.25">
      <c r="C280" s="10"/>
      <c r="F280" s="17"/>
      <c r="M280" s="17"/>
      <c r="S280" s="17"/>
      <c r="U280" s="4"/>
      <c r="X280" s="17"/>
      <c r="Z280" s="21"/>
      <c r="AA280" s="5"/>
    </row>
    <row r="281" spans="3:27" x14ac:dyDescent="0.25">
      <c r="C281" s="10"/>
      <c r="F281" s="17"/>
      <c r="M281" s="17"/>
      <c r="S281" s="17"/>
      <c r="U281" s="4"/>
      <c r="X281" s="17"/>
      <c r="Z281" s="21"/>
      <c r="AA281" s="5"/>
    </row>
    <row r="282" spans="3:27" x14ac:dyDescent="0.25">
      <c r="C282" s="10"/>
      <c r="F282" s="17"/>
      <c r="M282" s="17"/>
      <c r="S282" s="17"/>
      <c r="U282" s="4"/>
      <c r="X282" s="17"/>
      <c r="Z282" s="21"/>
      <c r="AA282" s="5"/>
    </row>
    <row r="283" spans="3:27" x14ac:dyDescent="0.25">
      <c r="C283" s="10"/>
      <c r="F283" s="17"/>
      <c r="M283" s="17"/>
      <c r="S283" s="17"/>
      <c r="U283" s="4"/>
      <c r="X283" s="17"/>
      <c r="Z283" s="21"/>
      <c r="AA283" s="5"/>
    </row>
    <row r="284" spans="3:27" x14ac:dyDescent="0.25">
      <c r="C284" s="10"/>
      <c r="F284" s="17"/>
      <c r="M284" s="17"/>
      <c r="S284" s="17"/>
      <c r="U284" s="4"/>
      <c r="X284" s="17"/>
      <c r="Z284" s="21"/>
      <c r="AA284" s="5"/>
    </row>
    <row r="285" spans="3:27" x14ac:dyDescent="0.25">
      <c r="C285" s="10"/>
      <c r="F285" s="17"/>
      <c r="M285" s="17"/>
      <c r="S285" s="17"/>
      <c r="U285" s="4"/>
      <c r="X285" s="17"/>
      <c r="Z285" s="21"/>
      <c r="AA285" s="5"/>
    </row>
    <row r="286" spans="3:27" x14ac:dyDescent="0.25">
      <c r="C286" s="10"/>
      <c r="F286" s="17"/>
      <c r="M286" s="17"/>
      <c r="S286" s="17"/>
      <c r="U286" s="4"/>
      <c r="X286" s="17"/>
      <c r="Z286" s="21"/>
      <c r="AA286" s="5"/>
    </row>
    <row r="287" spans="3:27" x14ac:dyDescent="0.25">
      <c r="C287" s="10"/>
      <c r="F287" s="17"/>
      <c r="M287" s="17"/>
      <c r="S287" s="17"/>
      <c r="U287" s="4"/>
      <c r="X287" s="17"/>
      <c r="Z287" s="21"/>
      <c r="AA287" s="5"/>
    </row>
    <row r="288" spans="3:27" x14ac:dyDescent="0.25">
      <c r="C288" s="10"/>
      <c r="F288" s="17"/>
      <c r="M288" s="17"/>
      <c r="S288" s="17"/>
      <c r="U288" s="4"/>
      <c r="X288" s="17"/>
      <c r="Z288" s="21"/>
      <c r="AA288" s="5"/>
    </row>
    <row r="289" spans="3:27" x14ac:dyDescent="0.25">
      <c r="C289" s="10"/>
      <c r="F289" s="17"/>
      <c r="M289" s="17"/>
      <c r="S289" s="17"/>
      <c r="U289" s="4"/>
      <c r="X289" s="17"/>
      <c r="Z289" s="21"/>
      <c r="AA289" s="5"/>
    </row>
    <row r="290" spans="3:27" x14ac:dyDescent="0.25">
      <c r="C290" s="10"/>
      <c r="F290" s="17"/>
      <c r="M290" s="17"/>
      <c r="S290" s="17"/>
      <c r="U290" s="4"/>
      <c r="X290" s="17"/>
      <c r="Z290" s="21"/>
      <c r="AA290" s="5"/>
    </row>
    <row r="291" spans="3:27" x14ac:dyDescent="0.25">
      <c r="C291" s="10"/>
      <c r="F291" s="17"/>
      <c r="M291" s="17"/>
      <c r="S291" s="17"/>
      <c r="U291" s="4"/>
      <c r="X291" s="17"/>
      <c r="Z291" s="21"/>
      <c r="AA291" s="5"/>
    </row>
    <row r="292" spans="3:27" x14ac:dyDescent="0.25">
      <c r="C292" s="10"/>
      <c r="F292" s="17"/>
      <c r="M292" s="17"/>
      <c r="S292" s="17"/>
      <c r="U292" s="4"/>
      <c r="X292" s="17"/>
      <c r="Z292" s="21"/>
      <c r="AA292" s="5"/>
    </row>
    <row r="293" spans="3:27" x14ac:dyDescent="0.25">
      <c r="C293" s="10"/>
      <c r="F293" s="17"/>
      <c r="M293" s="17"/>
      <c r="S293" s="17"/>
      <c r="U293" s="4"/>
      <c r="X293" s="17"/>
      <c r="Z293" s="21"/>
      <c r="AA293" s="5"/>
    </row>
    <row r="294" spans="3:27" x14ac:dyDescent="0.25">
      <c r="C294" s="10"/>
      <c r="F294" s="17"/>
      <c r="M294" s="17"/>
      <c r="S294" s="17"/>
      <c r="U294" s="4"/>
      <c r="X294" s="17"/>
      <c r="Z294" s="21"/>
      <c r="AA294" s="5"/>
    </row>
    <row r="295" spans="3:27" x14ac:dyDescent="0.25">
      <c r="C295" s="10"/>
      <c r="F295" s="17"/>
      <c r="M295" s="17"/>
      <c r="S295" s="17"/>
      <c r="U295" s="4"/>
      <c r="X295" s="17"/>
      <c r="Z295" s="21"/>
      <c r="AA295" s="5"/>
    </row>
    <row r="296" spans="3:27" x14ac:dyDescent="0.25">
      <c r="C296" s="10"/>
      <c r="F296" s="17"/>
      <c r="M296" s="17"/>
      <c r="S296" s="17"/>
      <c r="U296" s="4"/>
      <c r="X296" s="17"/>
      <c r="Z296" s="21"/>
      <c r="AA296" s="5"/>
    </row>
    <row r="297" spans="3:27" x14ac:dyDescent="0.25">
      <c r="C297" s="10"/>
      <c r="F297" s="17"/>
      <c r="M297" s="17"/>
      <c r="S297" s="17"/>
      <c r="U297" s="4"/>
      <c r="X297" s="17"/>
      <c r="Z297" s="21"/>
      <c r="AA297" s="5"/>
    </row>
    <row r="298" spans="3:27" x14ac:dyDescent="0.25">
      <c r="C298" s="10"/>
      <c r="F298" s="17"/>
      <c r="M298" s="17"/>
      <c r="S298" s="17"/>
      <c r="U298" s="4"/>
      <c r="X298" s="17"/>
      <c r="Z298" s="21"/>
      <c r="AA298" s="5"/>
    </row>
    <row r="299" spans="3:27" x14ac:dyDescent="0.25">
      <c r="C299" s="10"/>
      <c r="F299" s="17"/>
      <c r="M299" s="17"/>
      <c r="S299" s="17"/>
      <c r="U299" s="4"/>
      <c r="X299" s="17"/>
      <c r="Z299" s="21"/>
      <c r="AA299" s="5"/>
    </row>
    <row r="300" spans="3:27" x14ac:dyDescent="0.25">
      <c r="C300" s="10"/>
      <c r="F300" s="17"/>
      <c r="M300" s="17"/>
      <c r="S300" s="17"/>
      <c r="U300" s="4"/>
      <c r="X300" s="17"/>
      <c r="Z300" s="21"/>
      <c r="AA300" s="5"/>
    </row>
    <row r="301" spans="3:27" x14ac:dyDescent="0.25">
      <c r="C301" s="10"/>
      <c r="F301" s="17"/>
      <c r="M301" s="17"/>
      <c r="S301" s="17"/>
      <c r="U301" s="4"/>
      <c r="X301" s="17"/>
      <c r="Z301" s="21"/>
      <c r="AA301" s="5"/>
    </row>
    <row r="302" spans="3:27" x14ac:dyDescent="0.25">
      <c r="C302" s="10"/>
      <c r="F302" s="17"/>
      <c r="M302" s="17"/>
      <c r="S302" s="17"/>
      <c r="U302" s="4"/>
      <c r="X302" s="17"/>
      <c r="Z302" s="21"/>
      <c r="AA302" s="5"/>
    </row>
    <row r="303" spans="3:27" x14ac:dyDescent="0.25">
      <c r="C303" s="10"/>
      <c r="F303" s="17"/>
      <c r="M303" s="17"/>
      <c r="S303" s="17"/>
      <c r="U303" s="4"/>
      <c r="X303" s="17"/>
      <c r="Z303" s="21"/>
      <c r="AA303" s="5"/>
    </row>
    <row r="304" spans="3:27" x14ac:dyDescent="0.25">
      <c r="C304" s="10"/>
      <c r="F304" s="17"/>
      <c r="M304" s="17"/>
      <c r="S304" s="17"/>
      <c r="U304" s="4"/>
      <c r="X304" s="17"/>
      <c r="Z304" s="21"/>
      <c r="AA304" s="5"/>
    </row>
    <row r="305" spans="3:27" x14ac:dyDescent="0.25">
      <c r="C305" s="10"/>
      <c r="F305" s="17"/>
      <c r="M305" s="17"/>
      <c r="S305" s="17"/>
      <c r="U305" s="4"/>
      <c r="X305" s="17"/>
      <c r="Z305" s="21"/>
      <c r="AA305" s="5"/>
    </row>
    <row r="306" spans="3:27" x14ac:dyDescent="0.25">
      <c r="C306" s="10"/>
      <c r="F306" s="17"/>
      <c r="M306" s="17"/>
      <c r="S306" s="17"/>
      <c r="U306" s="4"/>
      <c r="X306" s="17"/>
      <c r="Z306" s="21"/>
      <c r="AA306" s="5"/>
    </row>
    <row r="307" spans="3:27" x14ac:dyDescent="0.25">
      <c r="C307" s="10"/>
      <c r="F307" s="17"/>
      <c r="M307" s="17"/>
      <c r="S307" s="17"/>
      <c r="U307" s="4"/>
      <c r="X307" s="17"/>
      <c r="Z307" s="21"/>
      <c r="AA307" s="5"/>
    </row>
    <row r="308" spans="3:27" x14ac:dyDescent="0.25">
      <c r="C308" s="10"/>
      <c r="F308" s="17"/>
      <c r="M308" s="17"/>
      <c r="S308" s="17"/>
      <c r="U308" s="4"/>
      <c r="X308" s="17"/>
      <c r="Z308" s="21"/>
      <c r="AA308" s="5"/>
    </row>
    <row r="309" spans="3:27" x14ac:dyDescent="0.25">
      <c r="C309" s="10"/>
      <c r="F309" s="17"/>
      <c r="M309" s="17"/>
      <c r="S309" s="17"/>
      <c r="U309" s="4"/>
      <c r="X309" s="17"/>
      <c r="Z309" s="21"/>
      <c r="AA309" s="5"/>
    </row>
    <row r="310" spans="3:27" x14ac:dyDescent="0.25">
      <c r="C310" s="10"/>
      <c r="F310" s="17"/>
      <c r="M310" s="17"/>
      <c r="S310" s="17"/>
      <c r="U310" s="4"/>
      <c r="X310" s="17"/>
      <c r="Z310" s="21"/>
      <c r="AA310" s="5"/>
    </row>
    <row r="311" spans="3:27" x14ac:dyDescent="0.25">
      <c r="C311" s="10"/>
      <c r="F311" s="17"/>
      <c r="M311" s="17"/>
      <c r="S311" s="17"/>
      <c r="U311" s="4"/>
      <c r="X311" s="17"/>
      <c r="Z311" s="21"/>
      <c r="AA311" s="5"/>
    </row>
    <row r="312" spans="3:27" x14ac:dyDescent="0.25">
      <c r="C312" s="10"/>
      <c r="F312" s="17"/>
      <c r="M312" s="17"/>
      <c r="S312" s="17"/>
      <c r="U312" s="4"/>
      <c r="X312" s="17"/>
      <c r="Z312" s="21"/>
      <c r="AA312" s="5"/>
    </row>
    <row r="313" spans="3:27" x14ac:dyDescent="0.25">
      <c r="C313" s="10"/>
      <c r="F313" s="17"/>
      <c r="M313" s="17"/>
      <c r="S313" s="17"/>
      <c r="U313" s="4"/>
      <c r="X313" s="17"/>
      <c r="Z313" s="21"/>
      <c r="AA313" s="5"/>
    </row>
    <row r="314" spans="3:27" x14ac:dyDescent="0.25">
      <c r="C314" s="10"/>
      <c r="F314" s="17"/>
      <c r="M314" s="17"/>
      <c r="S314" s="17"/>
      <c r="U314" s="4"/>
      <c r="X314" s="17"/>
      <c r="Z314" s="21"/>
      <c r="AA314" s="5"/>
    </row>
    <row r="315" spans="3:27" x14ac:dyDescent="0.25">
      <c r="C315" s="10"/>
      <c r="F315" s="17"/>
      <c r="M315" s="17"/>
      <c r="S315" s="17"/>
      <c r="U315" s="4"/>
      <c r="X315" s="17"/>
      <c r="Z315" s="21"/>
      <c r="AA315" s="5"/>
    </row>
    <row r="316" spans="3:27" x14ac:dyDescent="0.25">
      <c r="C316" s="10"/>
      <c r="F316" s="17"/>
      <c r="M316" s="17"/>
      <c r="S316" s="17"/>
      <c r="U316" s="4"/>
      <c r="X316" s="17"/>
      <c r="Z316" s="21"/>
      <c r="AA316" s="5"/>
    </row>
    <row r="317" spans="3:27" x14ac:dyDescent="0.25">
      <c r="C317" s="10"/>
      <c r="F317" s="17"/>
      <c r="M317" s="17"/>
      <c r="S317" s="17"/>
      <c r="U317" s="4"/>
      <c r="X317" s="17"/>
      <c r="Z317" s="21"/>
      <c r="AA317" s="5"/>
    </row>
    <row r="318" spans="3:27" x14ac:dyDescent="0.25">
      <c r="C318" s="10"/>
      <c r="F318" s="17"/>
      <c r="M318" s="17"/>
      <c r="S318" s="17"/>
      <c r="U318" s="4"/>
      <c r="X318" s="17"/>
      <c r="Z318" s="21"/>
      <c r="AA318" s="5"/>
    </row>
    <row r="319" spans="3:27" x14ac:dyDescent="0.25">
      <c r="C319" s="10"/>
      <c r="F319" s="17"/>
      <c r="M319" s="17"/>
      <c r="S319" s="17"/>
      <c r="U319" s="4"/>
      <c r="X319" s="17"/>
      <c r="Z319" s="21"/>
      <c r="AA319" s="5"/>
    </row>
    <row r="320" spans="3:27" x14ac:dyDescent="0.25">
      <c r="C320" s="10"/>
      <c r="F320" s="17"/>
      <c r="M320" s="17"/>
      <c r="S320" s="17"/>
      <c r="U320" s="4"/>
      <c r="X320" s="17"/>
      <c r="Z320" s="21"/>
      <c r="AA320" s="5"/>
    </row>
    <row r="321" spans="3:27" x14ac:dyDescent="0.25">
      <c r="C321" s="10"/>
      <c r="F321" s="17"/>
      <c r="M321" s="17"/>
      <c r="S321" s="17"/>
      <c r="U321" s="4"/>
      <c r="X321" s="17"/>
      <c r="Z321" s="21"/>
      <c r="AA321" s="5"/>
    </row>
    <row r="322" spans="3:27" x14ac:dyDescent="0.25">
      <c r="C322" s="10"/>
      <c r="F322" s="17"/>
      <c r="M322" s="17"/>
      <c r="S322" s="17"/>
      <c r="U322" s="4"/>
      <c r="X322" s="17"/>
      <c r="Z322" s="21"/>
      <c r="AA322" s="5"/>
    </row>
    <row r="323" spans="3:27" x14ac:dyDescent="0.25">
      <c r="C323" s="10"/>
      <c r="F323" s="17"/>
      <c r="M323" s="17"/>
      <c r="S323" s="17"/>
      <c r="U323" s="4"/>
      <c r="X323" s="17"/>
      <c r="Z323" s="21"/>
      <c r="AA323" s="5"/>
    </row>
    <row r="324" spans="3:27" x14ac:dyDescent="0.25">
      <c r="C324" s="10"/>
      <c r="F324" s="17"/>
      <c r="M324" s="17"/>
      <c r="S324" s="17"/>
      <c r="U324" s="4"/>
      <c r="X324" s="17"/>
      <c r="Z324" s="21"/>
      <c r="AA324" s="5"/>
    </row>
    <row r="325" spans="3:27" x14ac:dyDescent="0.25">
      <c r="C325" s="10"/>
      <c r="F325" s="17"/>
      <c r="M325" s="17"/>
      <c r="S325" s="17"/>
      <c r="U325" s="4"/>
      <c r="X325" s="17"/>
      <c r="Z325" s="21"/>
      <c r="AA325" s="5"/>
    </row>
    <row r="326" spans="3:27" x14ac:dyDescent="0.25">
      <c r="C326" s="10"/>
      <c r="F326" s="17"/>
      <c r="M326" s="17"/>
      <c r="S326" s="17"/>
      <c r="U326" s="4"/>
      <c r="X326" s="17"/>
      <c r="Z326" s="21"/>
      <c r="AA326" s="5"/>
    </row>
    <row r="327" spans="3:27" x14ac:dyDescent="0.25">
      <c r="C327" s="10"/>
      <c r="F327" s="17"/>
      <c r="M327" s="17"/>
      <c r="S327" s="17"/>
      <c r="U327" s="4"/>
      <c r="X327" s="17"/>
      <c r="Z327" s="21"/>
      <c r="AA327" s="5"/>
    </row>
    <row r="328" spans="3:27" x14ac:dyDescent="0.25">
      <c r="C328" s="10"/>
      <c r="F328" s="17"/>
      <c r="M328" s="17"/>
      <c r="S328" s="17"/>
      <c r="U328" s="4"/>
      <c r="X328" s="17"/>
      <c r="Z328" s="21"/>
      <c r="AA328" s="5"/>
    </row>
    <row r="329" spans="3:27" x14ac:dyDescent="0.25">
      <c r="C329" s="10"/>
      <c r="F329" s="17"/>
      <c r="M329" s="17"/>
      <c r="S329" s="17"/>
      <c r="U329" s="4"/>
      <c r="X329" s="17"/>
      <c r="Z329" s="21"/>
      <c r="AA329" s="5"/>
    </row>
    <row r="330" spans="3:27" x14ac:dyDescent="0.25">
      <c r="C330" s="10"/>
      <c r="F330" s="17"/>
      <c r="M330" s="17"/>
      <c r="S330" s="17"/>
      <c r="U330" s="4"/>
      <c r="X330" s="17"/>
      <c r="Z330" s="21"/>
      <c r="AA330" s="5"/>
    </row>
    <row r="331" spans="3:27" x14ac:dyDescent="0.25">
      <c r="C331" s="10"/>
      <c r="F331" s="17"/>
      <c r="M331" s="17"/>
      <c r="S331" s="17"/>
      <c r="U331" s="4"/>
      <c r="X331" s="17"/>
      <c r="Z331" s="21"/>
      <c r="AA331" s="5"/>
    </row>
    <row r="332" spans="3:27" x14ac:dyDescent="0.25">
      <c r="C332" s="10"/>
      <c r="F332" s="17"/>
      <c r="M332" s="17"/>
      <c r="S332" s="17"/>
      <c r="U332" s="4"/>
      <c r="X332" s="17"/>
      <c r="Z332" s="21"/>
      <c r="AA332" s="5"/>
    </row>
    <row r="333" spans="3:27" x14ac:dyDescent="0.25">
      <c r="C333" s="10"/>
      <c r="F333" s="17"/>
      <c r="M333" s="17"/>
      <c r="S333" s="17"/>
      <c r="U333" s="4"/>
      <c r="X333" s="17"/>
      <c r="Z333" s="21"/>
      <c r="AA333" s="5"/>
    </row>
    <row r="334" spans="3:27" x14ac:dyDescent="0.25">
      <c r="C334" s="10"/>
      <c r="F334" s="17"/>
      <c r="M334" s="17"/>
      <c r="S334" s="17"/>
      <c r="U334" s="4"/>
      <c r="X334" s="17"/>
      <c r="Z334" s="21"/>
      <c r="AA334" s="5"/>
    </row>
    <row r="335" spans="3:27" x14ac:dyDescent="0.25">
      <c r="C335" s="10"/>
      <c r="F335" s="17"/>
      <c r="M335" s="17"/>
      <c r="S335" s="17"/>
      <c r="U335" s="4"/>
      <c r="X335" s="17"/>
      <c r="Z335" s="21"/>
      <c r="AA335" s="5"/>
    </row>
    <row r="336" spans="3:27" x14ac:dyDescent="0.25">
      <c r="C336" s="10"/>
      <c r="F336" s="17"/>
      <c r="M336" s="17"/>
      <c r="S336" s="17"/>
      <c r="U336" s="4"/>
      <c r="X336" s="17"/>
      <c r="Z336" s="21"/>
      <c r="AA336" s="5"/>
    </row>
    <row r="337" spans="3:27" x14ac:dyDescent="0.25">
      <c r="C337" s="10"/>
      <c r="F337" s="17"/>
      <c r="M337" s="17"/>
      <c r="S337" s="17"/>
      <c r="U337" s="4"/>
      <c r="X337" s="17"/>
      <c r="Z337" s="21"/>
      <c r="AA337" s="5"/>
    </row>
    <row r="338" spans="3:27" x14ac:dyDescent="0.25">
      <c r="C338" s="10"/>
      <c r="F338" s="17"/>
      <c r="M338" s="17"/>
      <c r="S338" s="17"/>
      <c r="U338" s="4"/>
      <c r="X338" s="17"/>
      <c r="Z338" s="21"/>
      <c r="AA338" s="5"/>
    </row>
    <row r="339" spans="3:27" x14ac:dyDescent="0.25">
      <c r="C339" s="10"/>
      <c r="F339" s="17"/>
      <c r="M339" s="17"/>
      <c r="S339" s="17"/>
      <c r="U339" s="4"/>
      <c r="X339" s="17"/>
      <c r="Z339" s="21"/>
      <c r="AA339" s="5"/>
    </row>
    <row r="340" spans="3:27" x14ac:dyDescent="0.25">
      <c r="C340" s="10"/>
      <c r="F340" s="17"/>
      <c r="M340" s="17"/>
      <c r="S340" s="17"/>
      <c r="U340" s="4"/>
      <c r="X340" s="17"/>
      <c r="Z340" s="21"/>
      <c r="AA340" s="5"/>
    </row>
    <row r="341" spans="3:27" x14ac:dyDescent="0.25">
      <c r="C341" s="10"/>
      <c r="F341" s="17"/>
      <c r="M341" s="17"/>
      <c r="S341" s="17"/>
      <c r="U341" s="4"/>
      <c r="X341" s="17"/>
      <c r="Z341" s="21"/>
      <c r="AA341" s="5"/>
    </row>
    <row r="342" spans="3:27" x14ac:dyDescent="0.25">
      <c r="C342" s="10"/>
      <c r="F342" s="17"/>
      <c r="M342" s="17"/>
      <c r="S342" s="17"/>
      <c r="U342" s="4"/>
      <c r="X342" s="17"/>
      <c r="Z342" s="21"/>
      <c r="AA342" s="5"/>
    </row>
    <row r="343" spans="3:27" x14ac:dyDescent="0.25">
      <c r="C343" s="10"/>
      <c r="F343" s="17"/>
      <c r="M343" s="17"/>
      <c r="S343" s="17"/>
      <c r="U343" s="4"/>
      <c r="X343" s="17"/>
      <c r="Z343" s="21"/>
      <c r="AA343" s="5"/>
    </row>
    <row r="344" spans="3:27" x14ac:dyDescent="0.25">
      <c r="C344" s="10"/>
      <c r="F344" s="17"/>
      <c r="M344" s="17"/>
      <c r="S344" s="17"/>
      <c r="U344" s="4"/>
      <c r="X344" s="17"/>
      <c r="Z344" s="21"/>
      <c r="AA344" s="5"/>
    </row>
    <row r="345" spans="3:27" x14ac:dyDescent="0.25">
      <c r="C345" s="10"/>
      <c r="F345" s="17"/>
      <c r="M345" s="17"/>
      <c r="S345" s="17"/>
      <c r="U345" s="4"/>
      <c r="X345" s="17"/>
      <c r="Z345" s="21"/>
      <c r="AA345" s="5"/>
    </row>
    <row r="346" spans="3:27" x14ac:dyDescent="0.25">
      <c r="C346" s="10"/>
      <c r="F346" s="17"/>
      <c r="M346" s="17"/>
      <c r="S346" s="17"/>
      <c r="U346" s="4"/>
      <c r="X346" s="17"/>
      <c r="Z346" s="21"/>
      <c r="AA346" s="5"/>
    </row>
    <row r="347" spans="3:27" x14ac:dyDescent="0.25">
      <c r="C347" s="10"/>
      <c r="F347" s="17"/>
      <c r="M347" s="17"/>
      <c r="S347" s="17"/>
      <c r="U347" s="4"/>
      <c r="X347" s="17"/>
      <c r="Z347" s="21"/>
      <c r="AA347" s="5"/>
    </row>
    <row r="348" spans="3:27" x14ac:dyDescent="0.25">
      <c r="C348" s="10"/>
      <c r="F348" s="17"/>
      <c r="M348" s="17"/>
      <c r="S348" s="17"/>
      <c r="U348" s="4"/>
      <c r="X348" s="17"/>
      <c r="Z348" s="21"/>
      <c r="AA348" s="5"/>
    </row>
    <row r="349" spans="3:27" x14ac:dyDescent="0.25">
      <c r="C349" s="10"/>
      <c r="F349" s="17"/>
      <c r="M349" s="17"/>
      <c r="S349" s="17"/>
      <c r="U349" s="4"/>
      <c r="X349" s="17"/>
      <c r="Z349" s="21"/>
      <c r="AA349" s="5"/>
    </row>
    <row r="350" spans="3:27" x14ac:dyDescent="0.25">
      <c r="C350" s="10"/>
      <c r="F350" s="17"/>
      <c r="M350" s="17"/>
      <c r="S350" s="17"/>
      <c r="U350" s="4"/>
      <c r="X350" s="17"/>
      <c r="Z350" s="21"/>
      <c r="AA350" s="5"/>
    </row>
    <row r="351" spans="3:27" x14ac:dyDescent="0.25">
      <c r="C351" s="10"/>
      <c r="F351" s="17"/>
      <c r="M351" s="17"/>
      <c r="S351" s="17"/>
      <c r="U351" s="4"/>
      <c r="X351" s="17"/>
      <c r="Z351" s="21"/>
      <c r="AA351" s="5"/>
    </row>
    <row r="352" spans="3:27" x14ac:dyDescent="0.25">
      <c r="C352" s="10"/>
      <c r="F352" s="17"/>
      <c r="M352" s="17"/>
      <c r="S352" s="17"/>
      <c r="U352" s="4"/>
      <c r="X352" s="17"/>
      <c r="Z352" s="21"/>
      <c r="AA352" s="5"/>
    </row>
    <row r="353" spans="3:27" x14ac:dyDescent="0.25">
      <c r="C353" s="10"/>
      <c r="F353" s="17"/>
      <c r="M353" s="17"/>
      <c r="S353" s="17"/>
      <c r="U353" s="4"/>
      <c r="X353" s="17"/>
      <c r="Z353" s="21"/>
      <c r="AA353" s="5"/>
    </row>
    <row r="354" spans="3:27" x14ac:dyDescent="0.25">
      <c r="C354" s="10"/>
      <c r="F354" s="17"/>
      <c r="M354" s="17"/>
      <c r="S354" s="17"/>
      <c r="U354" s="4"/>
      <c r="X354" s="17"/>
      <c r="Z354" s="21"/>
      <c r="AA354" s="5"/>
    </row>
    <row r="355" spans="3:27" x14ac:dyDescent="0.25">
      <c r="C355" s="10"/>
      <c r="F355" s="17"/>
      <c r="M355" s="17"/>
      <c r="S355" s="17"/>
      <c r="U355" s="4"/>
      <c r="X355" s="17"/>
      <c r="Z355" s="21"/>
      <c r="AA355" s="5"/>
    </row>
    <row r="356" spans="3:27" x14ac:dyDescent="0.25">
      <c r="C356" s="10"/>
      <c r="F356" s="17"/>
      <c r="M356" s="17"/>
      <c r="S356" s="17"/>
      <c r="U356" s="4"/>
      <c r="X356" s="17"/>
      <c r="Z356" s="21"/>
      <c r="AA356" s="5"/>
    </row>
    <row r="357" spans="3:27" x14ac:dyDescent="0.25">
      <c r="C357" s="10"/>
      <c r="F357" s="17"/>
      <c r="M357" s="17"/>
      <c r="S357" s="17"/>
      <c r="U357" s="4"/>
      <c r="X357" s="17"/>
      <c r="Z357" s="21"/>
      <c r="AA357" s="5"/>
    </row>
    <row r="358" spans="3:27" x14ac:dyDescent="0.25">
      <c r="C358" s="10"/>
      <c r="F358" s="17"/>
      <c r="M358" s="17"/>
      <c r="S358" s="17"/>
      <c r="U358" s="4"/>
      <c r="X358" s="17"/>
      <c r="Z358" s="21"/>
      <c r="AA358" s="5"/>
    </row>
    <row r="359" spans="3:27" x14ac:dyDescent="0.25">
      <c r="C359" s="10"/>
      <c r="F359" s="17"/>
      <c r="M359" s="17"/>
      <c r="S359" s="17"/>
      <c r="U359" s="4"/>
      <c r="X359" s="17"/>
      <c r="Z359" s="21"/>
      <c r="AA359" s="5"/>
    </row>
    <row r="360" spans="3:27" x14ac:dyDescent="0.25">
      <c r="C360" s="10"/>
      <c r="F360" s="17"/>
      <c r="M360" s="17"/>
      <c r="S360" s="17"/>
      <c r="U360" s="4"/>
      <c r="X360" s="17"/>
      <c r="Z360" s="21"/>
      <c r="AA360" s="5"/>
    </row>
    <row r="361" spans="3:27" x14ac:dyDescent="0.25">
      <c r="C361" s="10"/>
      <c r="F361" s="17"/>
      <c r="M361" s="17"/>
      <c r="S361" s="17"/>
      <c r="U361" s="4"/>
      <c r="X361" s="17"/>
      <c r="Z361" s="21"/>
      <c r="AA361" s="5"/>
    </row>
    <row r="362" spans="3:27" x14ac:dyDescent="0.25">
      <c r="C362" s="10"/>
      <c r="F362" s="17"/>
      <c r="M362" s="17"/>
      <c r="S362" s="17"/>
      <c r="U362" s="4"/>
      <c r="X362" s="17"/>
      <c r="Z362" s="21"/>
      <c r="AA362" s="5"/>
    </row>
    <row r="363" spans="3:27" x14ac:dyDescent="0.25">
      <c r="C363" s="10"/>
      <c r="F363" s="17"/>
      <c r="M363" s="17"/>
      <c r="S363" s="17"/>
      <c r="U363" s="4"/>
      <c r="X363" s="17"/>
      <c r="Z363" s="21"/>
      <c r="AA363" s="5"/>
    </row>
    <row r="364" spans="3:27" x14ac:dyDescent="0.25">
      <c r="C364" s="10"/>
      <c r="F364" s="17"/>
      <c r="M364" s="17"/>
      <c r="S364" s="17"/>
      <c r="U364" s="4"/>
      <c r="X364" s="17"/>
      <c r="Z364" s="21"/>
      <c r="AA364" s="5"/>
    </row>
    <row r="365" spans="3:27" x14ac:dyDescent="0.25">
      <c r="C365" s="10"/>
      <c r="F365" s="17"/>
      <c r="M365" s="17"/>
      <c r="S365" s="17"/>
      <c r="U365" s="4"/>
      <c r="X365" s="17"/>
      <c r="Z365" s="21"/>
      <c r="AA365" s="5"/>
    </row>
    <row r="366" spans="3:27" x14ac:dyDescent="0.25">
      <c r="C366" s="10"/>
      <c r="F366" s="17"/>
      <c r="M366" s="17"/>
      <c r="S366" s="17"/>
      <c r="U366" s="4"/>
      <c r="X366" s="17"/>
      <c r="Z366" s="21"/>
      <c r="AA366" s="5"/>
    </row>
    <row r="367" spans="3:27" x14ac:dyDescent="0.25">
      <c r="C367" s="10"/>
      <c r="F367" s="17"/>
      <c r="M367" s="17"/>
      <c r="S367" s="17"/>
      <c r="U367" s="4"/>
      <c r="X367" s="17"/>
      <c r="Z367" s="21"/>
      <c r="AA367" s="5"/>
    </row>
    <row r="368" spans="3:27" x14ac:dyDescent="0.25">
      <c r="C368" s="10"/>
      <c r="F368" s="17"/>
      <c r="M368" s="17"/>
      <c r="S368" s="17"/>
      <c r="U368" s="4"/>
      <c r="X368" s="17"/>
      <c r="Z368" s="21"/>
      <c r="AA368" s="5"/>
    </row>
    <row r="369" spans="3:27" x14ac:dyDescent="0.25">
      <c r="C369" s="10"/>
      <c r="F369" s="17"/>
      <c r="M369" s="17"/>
      <c r="S369" s="17"/>
      <c r="U369" s="4"/>
      <c r="X369" s="17"/>
      <c r="Z369" s="21"/>
      <c r="AA369" s="5"/>
    </row>
    <row r="370" spans="3:27" x14ac:dyDescent="0.25">
      <c r="C370" s="10"/>
      <c r="F370" s="17"/>
      <c r="M370" s="17"/>
      <c r="S370" s="17"/>
      <c r="U370" s="4"/>
      <c r="X370" s="17"/>
      <c r="Z370" s="21"/>
      <c r="AA370" s="5"/>
    </row>
    <row r="371" spans="3:27" x14ac:dyDescent="0.25">
      <c r="C371" s="10"/>
      <c r="F371" s="17"/>
      <c r="M371" s="17"/>
      <c r="S371" s="17"/>
      <c r="U371" s="4"/>
      <c r="X371" s="17"/>
      <c r="Z371" s="21"/>
      <c r="AA371" s="5"/>
    </row>
    <row r="372" spans="3:27" x14ac:dyDescent="0.25">
      <c r="C372" s="10"/>
      <c r="F372" s="17"/>
      <c r="M372" s="17"/>
      <c r="S372" s="17"/>
      <c r="U372" s="4"/>
      <c r="X372" s="17"/>
      <c r="Z372" s="21"/>
      <c r="AA372" s="5"/>
    </row>
    <row r="373" spans="3:27" x14ac:dyDescent="0.25">
      <c r="C373" s="10"/>
      <c r="F373" s="17"/>
      <c r="M373" s="17"/>
      <c r="S373" s="17"/>
      <c r="U373" s="4"/>
      <c r="X373" s="17"/>
      <c r="Z373" s="21"/>
      <c r="AA373" s="5"/>
    </row>
    <row r="374" spans="3:27" x14ac:dyDescent="0.25">
      <c r="C374" s="10"/>
      <c r="F374" s="17"/>
      <c r="M374" s="17"/>
      <c r="S374" s="17"/>
      <c r="U374" s="4"/>
      <c r="X374" s="17"/>
      <c r="Z374" s="21"/>
      <c r="AA374" s="5"/>
    </row>
    <row r="375" spans="3:27" x14ac:dyDescent="0.25">
      <c r="C375" s="10"/>
      <c r="F375" s="17"/>
      <c r="M375" s="17"/>
      <c r="S375" s="17"/>
      <c r="U375" s="4"/>
      <c r="X375" s="17"/>
      <c r="Z375" s="21"/>
      <c r="AA375" s="5"/>
    </row>
    <row r="376" spans="3:27" x14ac:dyDescent="0.25">
      <c r="C376" s="10"/>
      <c r="F376" s="17"/>
      <c r="M376" s="17"/>
      <c r="S376" s="17"/>
      <c r="U376" s="4"/>
      <c r="X376" s="17"/>
      <c r="Z376" s="21"/>
      <c r="AA376" s="5"/>
    </row>
    <row r="377" spans="3:27" x14ac:dyDescent="0.25">
      <c r="C377" s="10"/>
      <c r="F377" s="17"/>
      <c r="M377" s="17"/>
      <c r="S377" s="17"/>
      <c r="U377" s="4"/>
      <c r="X377" s="17"/>
      <c r="Z377" s="21"/>
      <c r="AA377" s="5"/>
    </row>
    <row r="378" spans="3:27" x14ac:dyDescent="0.25">
      <c r="C378" s="10"/>
      <c r="F378" s="17"/>
      <c r="M378" s="17"/>
      <c r="S378" s="17"/>
      <c r="U378" s="4"/>
      <c r="X378" s="17"/>
      <c r="Z378" s="21"/>
      <c r="AA378" s="5"/>
    </row>
    <row r="379" spans="3:27" x14ac:dyDescent="0.25">
      <c r="C379" s="10"/>
      <c r="F379" s="17"/>
      <c r="M379" s="17"/>
      <c r="S379" s="17"/>
      <c r="U379" s="4"/>
      <c r="X379" s="17"/>
      <c r="Z379" s="21"/>
      <c r="AA379" s="5"/>
    </row>
    <row r="380" spans="3:27" x14ac:dyDescent="0.25">
      <c r="C380" s="10"/>
      <c r="F380" s="17"/>
      <c r="M380" s="17"/>
      <c r="S380" s="17"/>
      <c r="U380" s="4"/>
      <c r="X380" s="17"/>
      <c r="Z380" s="21"/>
      <c r="AA380" s="5"/>
    </row>
    <row r="381" spans="3:27" x14ac:dyDescent="0.25">
      <c r="C381" s="10"/>
      <c r="F381" s="17"/>
      <c r="M381" s="17"/>
      <c r="S381" s="17"/>
      <c r="U381" s="4"/>
      <c r="X381" s="17"/>
      <c r="Z381" s="21"/>
      <c r="AA381" s="5"/>
    </row>
    <row r="382" spans="3:27" x14ac:dyDescent="0.25">
      <c r="C382" s="10"/>
      <c r="F382" s="17"/>
      <c r="M382" s="17"/>
      <c r="S382" s="17"/>
      <c r="U382" s="4"/>
      <c r="X382" s="17"/>
      <c r="Z382" s="21"/>
      <c r="AA382" s="5"/>
    </row>
    <row r="383" spans="3:27" x14ac:dyDescent="0.25">
      <c r="C383" s="10"/>
      <c r="F383" s="17"/>
      <c r="M383" s="17"/>
      <c r="S383" s="17"/>
      <c r="U383" s="4"/>
      <c r="X383" s="17"/>
      <c r="Z383" s="21"/>
      <c r="AA383" s="5"/>
    </row>
    <row r="384" spans="3:27" x14ac:dyDescent="0.25">
      <c r="C384" s="10"/>
      <c r="F384" s="17"/>
      <c r="M384" s="17"/>
      <c r="S384" s="17"/>
      <c r="U384" s="4"/>
      <c r="X384" s="17"/>
      <c r="Z384" s="21"/>
      <c r="AA384" s="5"/>
    </row>
    <row r="385" spans="3:27" x14ac:dyDescent="0.25">
      <c r="C385" s="10"/>
      <c r="F385" s="17"/>
      <c r="M385" s="17"/>
      <c r="S385" s="17"/>
      <c r="U385" s="4"/>
      <c r="X385" s="17"/>
      <c r="Z385" s="21"/>
      <c r="AA385" s="5"/>
    </row>
    <row r="386" spans="3:27" x14ac:dyDescent="0.25">
      <c r="C386" s="10"/>
      <c r="F386" s="17"/>
      <c r="M386" s="17"/>
      <c r="S386" s="17"/>
      <c r="U386" s="4"/>
      <c r="X386" s="17"/>
      <c r="Z386" s="21"/>
      <c r="AA386" s="5"/>
    </row>
    <row r="387" spans="3:27" x14ac:dyDescent="0.25">
      <c r="C387" s="10"/>
      <c r="F387" s="17"/>
      <c r="M387" s="17"/>
      <c r="S387" s="17"/>
      <c r="U387" s="4"/>
      <c r="X387" s="17"/>
      <c r="Z387" s="21"/>
      <c r="AA387" s="5"/>
    </row>
    <row r="388" spans="3:27" x14ac:dyDescent="0.25">
      <c r="C388" s="10"/>
      <c r="F388" s="17"/>
      <c r="M388" s="17"/>
      <c r="S388" s="17"/>
      <c r="U388" s="4"/>
      <c r="X388" s="17"/>
      <c r="Z388" s="21"/>
      <c r="AA388" s="5"/>
    </row>
    <row r="389" spans="3:27" x14ac:dyDescent="0.25">
      <c r="C389" s="10"/>
      <c r="F389" s="17"/>
      <c r="M389" s="17"/>
      <c r="S389" s="17"/>
      <c r="U389" s="4"/>
      <c r="X389" s="17"/>
      <c r="Z389" s="21"/>
      <c r="AA389" s="5"/>
    </row>
    <row r="390" spans="3:27" x14ac:dyDescent="0.25">
      <c r="C390" s="10"/>
      <c r="F390" s="17"/>
      <c r="M390" s="17"/>
      <c r="S390" s="17"/>
      <c r="U390" s="4"/>
      <c r="X390" s="17"/>
      <c r="Z390" s="21"/>
      <c r="AA390" s="5"/>
    </row>
    <row r="391" spans="3:27" x14ac:dyDescent="0.25">
      <c r="C391" s="10"/>
      <c r="F391" s="17"/>
      <c r="M391" s="17"/>
      <c r="S391" s="17"/>
      <c r="U391" s="4"/>
      <c r="X391" s="17"/>
      <c r="Z391" s="21"/>
      <c r="AA391" s="5"/>
    </row>
    <row r="392" spans="3:27" x14ac:dyDescent="0.25">
      <c r="C392" s="10"/>
      <c r="F392" s="17"/>
      <c r="M392" s="17"/>
      <c r="S392" s="17"/>
      <c r="U392" s="4"/>
      <c r="X392" s="17"/>
      <c r="Z392" s="21"/>
      <c r="AA392" s="5"/>
    </row>
    <row r="393" spans="3:27" x14ac:dyDescent="0.25">
      <c r="C393" s="10"/>
      <c r="F393" s="17"/>
      <c r="M393" s="17"/>
      <c r="S393" s="17"/>
      <c r="U393" s="4"/>
      <c r="X393" s="17"/>
      <c r="Z393" s="21"/>
      <c r="AA393" s="5"/>
    </row>
    <row r="394" spans="3:27" x14ac:dyDescent="0.25">
      <c r="C394" s="10"/>
      <c r="F394" s="17"/>
      <c r="M394" s="17"/>
      <c r="S394" s="17"/>
      <c r="U394" s="4"/>
      <c r="X394" s="17"/>
      <c r="Z394" s="21"/>
      <c r="AA394" s="5"/>
    </row>
    <row r="395" spans="3:27" x14ac:dyDescent="0.25">
      <c r="C395" s="10"/>
      <c r="F395" s="17"/>
      <c r="M395" s="17"/>
      <c r="S395" s="17"/>
      <c r="U395" s="4"/>
      <c r="X395" s="17"/>
      <c r="Z395" s="21"/>
      <c r="AA395" s="5"/>
    </row>
    <row r="396" spans="3:27" x14ac:dyDescent="0.25">
      <c r="C396" s="10"/>
      <c r="F396" s="17"/>
      <c r="M396" s="17"/>
      <c r="S396" s="17"/>
      <c r="U396" s="4"/>
      <c r="X396" s="17"/>
      <c r="Z396" s="21"/>
      <c r="AA396" s="5"/>
    </row>
    <row r="397" spans="3:27" x14ac:dyDescent="0.25">
      <c r="C397" s="10"/>
      <c r="F397" s="17"/>
      <c r="M397" s="17"/>
      <c r="S397" s="17"/>
      <c r="U397" s="4"/>
      <c r="X397" s="17"/>
      <c r="Z397" s="21"/>
      <c r="AA397" s="5"/>
    </row>
    <row r="398" spans="3:27" x14ac:dyDescent="0.25">
      <c r="C398" s="10"/>
      <c r="F398" s="17"/>
      <c r="M398" s="17"/>
      <c r="S398" s="17"/>
      <c r="U398" s="4"/>
      <c r="X398" s="17"/>
      <c r="Z398" s="21"/>
      <c r="AA398" s="5"/>
    </row>
    <row r="399" spans="3:27" x14ac:dyDescent="0.25">
      <c r="C399" s="10"/>
      <c r="F399" s="17"/>
      <c r="M399" s="17"/>
      <c r="S399" s="17"/>
      <c r="U399" s="4"/>
      <c r="X399" s="17"/>
      <c r="Z399" s="21"/>
      <c r="AA399" s="5"/>
    </row>
    <row r="400" spans="3:27" x14ac:dyDescent="0.25">
      <c r="C400" s="10"/>
      <c r="F400" s="17"/>
      <c r="M400" s="17"/>
      <c r="S400" s="17"/>
      <c r="U400" s="4"/>
      <c r="X400" s="17"/>
      <c r="Z400" s="21"/>
      <c r="AA400" s="5"/>
    </row>
    <row r="401" spans="3:27" x14ac:dyDescent="0.25">
      <c r="C401" s="10"/>
      <c r="F401" s="17"/>
      <c r="M401" s="17"/>
      <c r="S401" s="17"/>
      <c r="U401" s="4"/>
      <c r="X401" s="17"/>
      <c r="Z401" s="21"/>
      <c r="AA401" s="5"/>
    </row>
    <row r="402" spans="3:27" x14ac:dyDescent="0.25">
      <c r="C402" s="10"/>
      <c r="F402" s="17"/>
      <c r="M402" s="17"/>
      <c r="S402" s="17"/>
      <c r="U402" s="4"/>
      <c r="X402" s="17"/>
      <c r="Z402" s="21"/>
      <c r="AA402" s="5"/>
    </row>
    <row r="403" spans="3:27" x14ac:dyDescent="0.25">
      <c r="C403" s="10"/>
      <c r="F403" s="17"/>
      <c r="M403" s="17"/>
      <c r="S403" s="17"/>
      <c r="U403" s="4"/>
      <c r="X403" s="17"/>
      <c r="Z403" s="21"/>
      <c r="AA403" s="5"/>
    </row>
    <row r="404" spans="3:27" x14ac:dyDescent="0.25">
      <c r="C404" s="10"/>
      <c r="F404" s="17"/>
      <c r="M404" s="17"/>
      <c r="S404" s="17"/>
      <c r="U404" s="4"/>
      <c r="X404" s="17"/>
      <c r="Z404" s="21"/>
      <c r="AA404" s="5"/>
    </row>
    <row r="405" spans="3:27" x14ac:dyDescent="0.25">
      <c r="C405" s="10"/>
      <c r="F405" s="17"/>
      <c r="M405" s="17"/>
      <c r="S405" s="17"/>
      <c r="U405" s="4"/>
      <c r="X405" s="17"/>
      <c r="Z405" s="21"/>
      <c r="AA405" s="5"/>
    </row>
    <row r="406" spans="3:27" x14ac:dyDescent="0.25">
      <c r="C406" s="10"/>
      <c r="F406" s="17"/>
      <c r="M406" s="17"/>
      <c r="S406" s="17"/>
      <c r="U406" s="4"/>
      <c r="X406" s="17"/>
      <c r="Z406" s="21"/>
      <c r="AA406" s="5"/>
    </row>
    <row r="407" spans="3:27" x14ac:dyDescent="0.25">
      <c r="C407" s="10"/>
      <c r="F407" s="17"/>
      <c r="M407" s="17"/>
      <c r="S407" s="17"/>
      <c r="U407" s="4"/>
      <c r="X407" s="17"/>
      <c r="Z407" s="21"/>
      <c r="AA407" s="5"/>
    </row>
    <row r="408" spans="3:27" x14ac:dyDescent="0.25">
      <c r="C408" s="10"/>
      <c r="F408" s="17"/>
      <c r="M408" s="17"/>
      <c r="S408" s="17"/>
      <c r="U408" s="4"/>
      <c r="X408" s="17"/>
      <c r="Z408" s="21"/>
      <c r="AA408" s="5"/>
    </row>
    <row r="409" spans="3:27" x14ac:dyDescent="0.25">
      <c r="C409" s="10"/>
      <c r="F409" s="17"/>
      <c r="M409" s="17"/>
      <c r="S409" s="17"/>
      <c r="U409" s="4"/>
      <c r="X409" s="17"/>
      <c r="Z409" s="21"/>
      <c r="AA409" s="5"/>
    </row>
    <row r="410" spans="3:27" x14ac:dyDescent="0.25">
      <c r="C410" s="10"/>
      <c r="F410" s="17"/>
      <c r="M410" s="17"/>
      <c r="S410" s="17"/>
      <c r="U410" s="4"/>
      <c r="X410" s="17"/>
      <c r="Z410" s="21"/>
      <c r="AA410" s="5"/>
    </row>
    <row r="411" spans="3:27" x14ac:dyDescent="0.25">
      <c r="C411" s="10"/>
      <c r="F411" s="17"/>
      <c r="M411" s="17"/>
      <c r="S411" s="17"/>
      <c r="U411" s="4"/>
      <c r="X411" s="17"/>
      <c r="Z411" s="21"/>
      <c r="AA411" s="5"/>
    </row>
    <row r="412" spans="3:27" x14ac:dyDescent="0.25">
      <c r="C412" s="10"/>
      <c r="F412" s="17"/>
      <c r="M412" s="17"/>
      <c r="S412" s="17"/>
      <c r="U412" s="4"/>
      <c r="X412" s="17"/>
      <c r="Z412" s="21"/>
      <c r="AA412" s="5"/>
    </row>
    <row r="413" spans="3:27" x14ac:dyDescent="0.25">
      <c r="C413" s="10"/>
      <c r="F413" s="17"/>
      <c r="M413" s="17"/>
      <c r="S413" s="17"/>
      <c r="U413" s="4"/>
      <c r="X413" s="17"/>
      <c r="Z413" s="21"/>
      <c r="AA413" s="5"/>
    </row>
    <row r="414" spans="3:27" x14ac:dyDescent="0.25">
      <c r="C414" s="10"/>
      <c r="F414" s="17"/>
      <c r="M414" s="17"/>
      <c r="S414" s="17"/>
      <c r="U414" s="4"/>
      <c r="X414" s="17"/>
      <c r="Z414" s="21"/>
      <c r="AA414" s="5"/>
    </row>
    <row r="415" spans="3:27" x14ac:dyDescent="0.25">
      <c r="C415" s="10"/>
      <c r="F415" s="17"/>
      <c r="M415" s="17"/>
      <c r="S415" s="17"/>
      <c r="U415" s="4"/>
      <c r="X415" s="17"/>
      <c r="Z415" s="21"/>
      <c r="AA415" s="5"/>
    </row>
    <row r="416" spans="3:27" x14ac:dyDescent="0.25">
      <c r="C416" s="10"/>
      <c r="F416" s="17"/>
      <c r="M416" s="17"/>
      <c r="S416" s="17"/>
      <c r="U416" s="4"/>
      <c r="X416" s="17"/>
      <c r="Z416" s="21"/>
      <c r="AA416" s="5"/>
    </row>
    <row r="417" spans="3:27" x14ac:dyDescent="0.25">
      <c r="C417" s="10"/>
      <c r="F417" s="17"/>
      <c r="M417" s="17"/>
      <c r="S417" s="17"/>
      <c r="U417" s="4"/>
      <c r="X417" s="17"/>
      <c r="Z417" s="21"/>
      <c r="AA417" s="5"/>
    </row>
    <row r="418" spans="3:27" x14ac:dyDescent="0.25">
      <c r="C418" s="10"/>
      <c r="F418" s="17"/>
      <c r="M418" s="17"/>
      <c r="S418" s="17"/>
      <c r="U418" s="4"/>
      <c r="X418" s="17"/>
      <c r="Z418" s="21"/>
      <c r="AA418" s="5"/>
    </row>
    <row r="419" spans="3:27" x14ac:dyDescent="0.25">
      <c r="C419" s="10"/>
      <c r="F419" s="17"/>
      <c r="M419" s="17"/>
      <c r="S419" s="17"/>
      <c r="U419" s="4"/>
      <c r="X419" s="17"/>
      <c r="Z419" s="21"/>
      <c r="AA419" s="5"/>
    </row>
    <row r="420" spans="3:27" x14ac:dyDescent="0.25">
      <c r="C420" s="10"/>
      <c r="F420" s="17"/>
      <c r="M420" s="17"/>
      <c r="S420" s="17"/>
      <c r="U420" s="4"/>
      <c r="X420" s="17"/>
      <c r="Z420" s="21"/>
      <c r="AA420" s="5"/>
    </row>
    <row r="421" spans="3:27" x14ac:dyDescent="0.25">
      <c r="C421" s="10"/>
      <c r="F421" s="17"/>
      <c r="M421" s="17"/>
      <c r="S421" s="17"/>
      <c r="U421" s="4"/>
      <c r="X421" s="17"/>
      <c r="Z421" s="21"/>
      <c r="AA421" s="5"/>
    </row>
    <row r="422" spans="3:27" x14ac:dyDescent="0.25">
      <c r="C422" s="10"/>
      <c r="F422" s="17"/>
      <c r="M422" s="17"/>
      <c r="S422" s="17"/>
      <c r="U422" s="4"/>
      <c r="X422" s="17"/>
      <c r="Z422" s="21"/>
      <c r="AA422" s="5"/>
    </row>
    <row r="423" spans="3:27" x14ac:dyDescent="0.25">
      <c r="C423" s="10"/>
      <c r="F423" s="17"/>
      <c r="M423" s="17"/>
      <c r="S423" s="17"/>
      <c r="U423" s="4"/>
      <c r="X423" s="17"/>
      <c r="Z423" s="21"/>
      <c r="AA423" s="5"/>
    </row>
    <row r="424" spans="3:27" x14ac:dyDescent="0.25">
      <c r="C424" s="10"/>
      <c r="F424" s="17"/>
      <c r="M424" s="17"/>
      <c r="S424" s="17"/>
      <c r="U424" s="4"/>
      <c r="X424" s="17"/>
      <c r="Z424" s="21"/>
      <c r="AA424" s="5"/>
    </row>
    <row r="425" spans="3:27" x14ac:dyDescent="0.25">
      <c r="C425" s="10"/>
      <c r="F425" s="17"/>
      <c r="M425" s="17"/>
      <c r="S425" s="17"/>
      <c r="U425" s="4"/>
      <c r="X425" s="17"/>
      <c r="Z425" s="21"/>
      <c r="AA425" s="5"/>
    </row>
    <row r="426" spans="3:27" x14ac:dyDescent="0.25">
      <c r="C426" s="10"/>
      <c r="F426" s="17"/>
      <c r="M426" s="17"/>
      <c r="S426" s="17"/>
      <c r="U426" s="4"/>
      <c r="X426" s="17"/>
      <c r="Z426" s="21"/>
      <c r="AA426" s="5"/>
    </row>
    <row r="427" spans="3:27" x14ac:dyDescent="0.25">
      <c r="C427" s="10"/>
      <c r="F427" s="17"/>
      <c r="M427" s="17"/>
      <c r="S427" s="17"/>
      <c r="U427" s="4"/>
      <c r="X427" s="17"/>
      <c r="Z427" s="21"/>
      <c r="AA427" s="5"/>
    </row>
    <row r="428" spans="3:27" x14ac:dyDescent="0.25">
      <c r="C428" s="10"/>
      <c r="F428" s="17"/>
      <c r="M428" s="17"/>
      <c r="S428" s="17"/>
      <c r="U428" s="4"/>
      <c r="X428" s="17"/>
      <c r="Z428" s="21"/>
      <c r="AA428" s="5"/>
    </row>
    <row r="429" spans="3:27" x14ac:dyDescent="0.25">
      <c r="C429" s="10"/>
      <c r="F429" s="17"/>
      <c r="M429" s="17"/>
      <c r="S429" s="17"/>
      <c r="U429" s="4"/>
      <c r="X429" s="17"/>
      <c r="Z429" s="21"/>
      <c r="AA429" s="5"/>
    </row>
    <row r="430" spans="3:27" x14ac:dyDescent="0.25">
      <c r="C430" s="10"/>
      <c r="F430" s="17"/>
      <c r="M430" s="17"/>
      <c r="S430" s="17"/>
      <c r="U430" s="4"/>
      <c r="X430" s="17"/>
      <c r="Z430" s="21"/>
      <c r="AA430" s="5"/>
    </row>
    <row r="431" spans="3:27" x14ac:dyDescent="0.25">
      <c r="C431" s="10"/>
      <c r="F431" s="17"/>
      <c r="M431" s="17"/>
      <c r="S431" s="17"/>
      <c r="U431" s="4"/>
      <c r="X431" s="17"/>
      <c r="Z431" s="21"/>
      <c r="AA431" s="5"/>
    </row>
    <row r="432" spans="3:27" x14ac:dyDescent="0.25">
      <c r="C432" s="10"/>
      <c r="F432" s="17"/>
      <c r="M432" s="17"/>
      <c r="S432" s="17"/>
      <c r="U432" s="4"/>
      <c r="X432" s="17"/>
      <c r="Z432" s="21"/>
      <c r="AA432" s="5"/>
    </row>
    <row r="433" spans="3:27" x14ac:dyDescent="0.25">
      <c r="C433" s="10"/>
      <c r="F433" s="17"/>
      <c r="M433" s="17"/>
      <c r="S433" s="17"/>
      <c r="U433" s="4"/>
      <c r="X433" s="17"/>
      <c r="Z433" s="21"/>
      <c r="AA433" s="5"/>
    </row>
    <row r="434" spans="3:27" x14ac:dyDescent="0.25">
      <c r="C434" s="10"/>
      <c r="F434" s="17"/>
      <c r="M434" s="17"/>
      <c r="S434" s="17"/>
      <c r="U434" s="4"/>
      <c r="X434" s="17"/>
      <c r="Z434" s="21"/>
      <c r="AA434" s="5"/>
    </row>
    <row r="435" spans="3:27" x14ac:dyDescent="0.25">
      <c r="C435" s="10"/>
      <c r="F435" s="17"/>
      <c r="M435" s="17"/>
      <c r="S435" s="17"/>
      <c r="U435" s="4"/>
      <c r="X435" s="17"/>
      <c r="Z435" s="21"/>
      <c r="AA435" s="5"/>
    </row>
    <row r="436" spans="3:27" x14ac:dyDescent="0.25">
      <c r="C436" s="10"/>
      <c r="F436" s="17"/>
      <c r="M436" s="17"/>
      <c r="S436" s="17"/>
      <c r="U436" s="4"/>
      <c r="X436" s="17"/>
      <c r="Z436" s="21"/>
      <c r="AA436" s="5"/>
    </row>
    <row r="437" spans="3:27" x14ac:dyDescent="0.25">
      <c r="C437" s="10"/>
      <c r="F437" s="17"/>
      <c r="M437" s="17"/>
      <c r="S437" s="17"/>
      <c r="U437" s="4"/>
      <c r="X437" s="17"/>
      <c r="Z437" s="21"/>
      <c r="AA437" s="5"/>
    </row>
    <row r="438" spans="3:27" x14ac:dyDescent="0.25">
      <c r="C438" s="10"/>
      <c r="F438" s="17"/>
      <c r="M438" s="17"/>
      <c r="S438" s="17"/>
      <c r="U438" s="4"/>
      <c r="X438" s="17"/>
      <c r="Z438" s="21"/>
      <c r="AA438" s="5"/>
    </row>
    <row r="439" spans="3:27" x14ac:dyDescent="0.25">
      <c r="C439" s="10"/>
      <c r="F439" s="17"/>
      <c r="M439" s="17"/>
      <c r="S439" s="17"/>
      <c r="U439" s="4"/>
      <c r="X439" s="17"/>
      <c r="Z439" s="21"/>
      <c r="AA439" s="5"/>
    </row>
    <row r="440" spans="3:27" x14ac:dyDescent="0.25">
      <c r="C440" s="10"/>
      <c r="F440" s="17"/>
      <c r="M440" s="17"/>
      <c r="S440" s="17"/>
      <c r="U440" s="4"/>
      <c r="X440" s="17"/>
      <c r="Z440" s="21"/>
      <c r="AA440" s="5"/>
    </row>
    <row r="441" spans="3:27" x14ac:dyDescent="0.25">
      <c r="C441" s="10"/>
      <c r="F441" s="17"/>
      <c r="M441" s="17"/>
      <c r="S441" s="17"/>
      <c r="U441" s="4"/>
      <c r="X441" s="17"/>
      <c r="Z441" s="21"/>
      <c r="AA441" s="5"/>
    </row>
    <row r="442" spans="3:27" x14ac:dyDescent="0.25">
      <c r="C442" s="10"/>
      <c r="F442" s="17"/>
      <c r="M442" s="17"/>
      <c r="S442" s="17"/>
      <c r="U442" s="4"/>
      <c r="X442" s="17"/>
      <c r="Z442" s="21"/>
      <c r="AA442" s="5"/>
    </row>
    <row r="443" spans="3:27" x14ac:dyDescent="0.25">
      <c r="C443" s="10"/>
      <c r="F443" s="17"/>
      <c r="M443" s="17"/>
      <c r="S443" s="17"/>
      <c r="U443" s="4"/>
      <c r="X443" s="17"/>
      <c r="Z443" s="21"/>
      <c r="AA443" s="5"/>
    </row>
    <row r="444" spans="3:27" x14ac:dyDescent="0.25">
      <c r="C444" s="10"/>
      <c r="F444" s="17"/>
      <c r="M444" s="17"/>
      <c r="S444" s="17"/>
      <c r="U444" s="4"/>
      <c r="X444" s="17"/>
      <c r="Z444" s="21"/>
      <c r="AA444" s="5"/>
    </row>
    <row r="445" spans="3:27" x14ac:dyDescent="0.25">
      <c r="C445" s="10"/>
      <c r="F445" s="17"/>
      <c r="M445" s="17"/>
      <c r="S445" s="17"/>
      <c r="U445" s="4"/>
      <c r="X445" s="17"/>
      <c r="Z445" s="21"/>
      <c r="AA445" s="5"/>
    </row>
    <row r="446" spans="3:27" x14ac:dyDescent="0.25">
      <c r="C446" s="10"/>
      <c r="F446" s="17"/>
      <c r="M446" s="17"/>
      <c r="S446" s="17"/>
      <c r="U446" s="4"/>
      <c r="X446" s="17"/>
      <c r="Z446" s="21"/>
      <c r="AA446" s="5"/>
    </row>
    <row r="447" spans="3:27" x14ac:dyDescent="0.25">
      <c r="C447" s="10"/>
      <c r="F447" s="17"/>
      <c r="M447" s="17"/>
      <c r="S447" s="17"/>
      <c r="U447" s="4"/>
      <c r="X447" s="17"/>
      <c r="Z447" s="21"/>
      <c r="AA447" s="5"/>
    </row>
    <row r="448" spans="3:27" x14ac:dyDescent="0.25">
      <c r="C448" s="10"/>
      <c r="F448" s="17"/>
      <c r="M448" s="17"/>
      <c r="S448" s="17"/>
      <c r="U448" s="4"/>
      <c r="X448" s="17"/>
      <c r="Z448" s="21"/>
      <c r="AA448" s="5"/>
    </row>
    <row r="449" spans="3:27" x14ac:dyDescent="0.25">
      <c r="C449" s="10"/>
      <c r="F449" s="17"/>
      <c r="M449" s="17"/>
      <c r="S449" s="17"/>
      <c r="U449" s="4"/>
      <c r="X449" s="17"/>
      <c r="Z449" s="21"/>
      <c r="AA449" s="5"/>
    </row>
    <row r="450" spans="3:27" x14ac:dyDescent="0.25">
      <c r="C450" s="10"/>
      <c r="F450" s="17"/>
      <c r="M450" s="17"/>
      <c r="S450" s="17"/>
      <c r="U450" s="4"/>
      <c r="X450" s="17"/>
      <c r="Z450" s="21"/>
      <c r="AA450" s="5"/>
    </row>
    <row r="451" spans="3:27" x14ac:dyDescent="0.25">
      <c r="C451" s="10"/>
      <c r="F451" s="17"/>
      <c r="M451" s="17"/>
      <c r="S451" s="17"/>
      <c r="U451" s="4"/>
      <c r="X451" s="17"/>
      <c r="Z451" s="21"/>
      <c r="AA451" s="5"/>
    </row>
    <row r="452" spans="3:27" x14ac:dyDescent="0.25">
      <c r="C452" s="10"/>
      <c r="F452" s="17"/>
      <c r="M452" s="17"/>
      <c r="S452" s="17"/>
      <c r="U452" s="4"/>
      <c r="X452" s="17"/>
      <c r="Z452" s="21"/>
      <c r="AA452" s="5"/>
    </row>
    <row r="453" spans="3:27" x14ac:dyDescent="0.25">
      <c r="C453" s="10"/>
      <c r="F453" s="17"/>
      <c r="M453" s="17"/>
      <c r="S453" s="17"/>
      <c r="U453" s="4"/>
      <c r="X453" s="17"/>
      <c r="Z453" s="21"/>
      <c r="AA453" s="5"/>
    </row>
    <row r="454" spans="3:27" x14ac:dyDescent="0.25">
      <c r="C454" s="10"/>
      <c r="F454" s="17"/>
      <c r="M454" s="17"/>
      <c r="S454" s="17"/>
      <c r="U454" s="4"/>
      <c r="X454" s="17"/>
      <c r="Z454" s="21"/>
      <c r="AA454" s="5"/>
    </row>
    <row r="455" spans="3:27" x14ac:dyDescent="0.25">
      <c r="C455" s="10"/>
      <c r="F455" s="17"/>
      <c r="M455" s="17"/>
      <c r="S455" s="17"/>
      <c r="U455" s="4"/>
      <c r="X455" s="17"/>
      <c r="Z455" s="21"/>
      <c r="AA455" s="5"/>
    </row>
    <row r="456" spans="3:27" x14ac:dyDescent="0.25">
      <c r="C456" s="10"/>
      <c r="F456" s="17"/>
      <c r="M456" s="17"/>
      <c r="S456" s="17"/>
      <c r="U456" s="4"/>
      <c r="X456" s="17"/>
      <c r="Z456" s="21"/>
      <c r="AA456" s="5"/>
    </row>
    <row r="457" spans="3:27" x14ac:dyDescent="0.25">
      <c r="C457" s="10"/>
      <c r="F457" s="17"/>
      <c r="M457" s="17"/>
      <c r="S457" s="17"/>
      <c r="U457" s="4"/>
      <c r="X457" s="17"/>
      <c r="Z457" s="21"/>
      <c r="AA457" s="5"/>
    </row>
    <row r="458" spans="3:27" x14ac:dyDescent="0.25">
      <c r="C458" s="10"/>
      <c r="F458" s="17"/>
      <c r="M458" s="17"/>
      <c r="S458" s="17"/>
      <c r="U458" s="4"/>
      <c r="X458" s="17"/>
      <c r="Z458" s="21"/>
      <c r="AA458" s="5"/>
    </row>
    <row r="459" spans="3:27" x14ac:dyDescent="0.25">
      <c r="C459" s="10"/>
      <c r="F459" s="17"/>
      <c r="M459" s="17"/>
      <c r="S459" s="17"/>
      <c r="U459" s="4"/>
      <c r="X459" s="17"/>
      <c r="Z459" s="21"/>
      <c r="AA459" s="5"/>
    </row>
    <row r="460" spans="3:27" x14ac:dyDescent="0.25">
      <c r="C460" s="10"/>
      <c r="F460" s="17"/>
      <c r="M460" s="17"/>
      <c r="S460" s="17"/>
      <c r="U460" s="4"/>
      <c r="X460" s="17"/>
      <c r="Z460" s="21"/>
      <c r="AA460" s="5"/>
    </row>
    <row r="461" spans="3:27" x14ac:dyDescent="0.25">
      <c r="C461" s="10"/>
      <c r="F461" s="17"/>
      <c r="M461" s="17"/>
      <c r="S461" s="17"/>
      <c r="U461" s="4"/>
      <c r="X461" s="17"/>
      <c r="Z461" s="21"/>
      <c r="AA461" s="5"/>
    </row>
    <row r="462" spans="3:27" x14ac:dyDescent="0.25">
      <c r="C462" s="10"/>
      <c r="F462" s="17"/>
      <c r="M462" s="17"/>
      <c r="S462" s="17"/>
      <c r="U462" s="4"/>
      <c r="X462" s="17"/>
      <c r="Z462" s="21"/>
      <c r="AA462" s="5"/>
    </row>
    <row r="463" spans="3:27" x14ac:dyDescent="0.25">
      <c r="C463" s="10"/>
      <c r="F463" s="17"/>
      <c r="M463" s="17"/>
      <c r="S463" s="17"/>
      <c r="U463" s="4"/>
      <c r="X463" s="17"/>
      <c r="Z463" s="21"/>
      <c r="AA463" s="5"/>
    </row>
    <row r="464" spans="3:27" x14ac:dyDescent="0.25">
      <c r="C464" s="10"/>
      <c r="F464" s="17"/>
      <c r="M464" s="17"/>
      <c r="S464" s="17"/>
      <c r="U464" s="4"/>
      <c r="X464" s="17"/>
      <c r="Z464" s="21"/>
      <c r="AA464" s="5"/>
    </row>
    <row r="465" spans="3:27" x14ac:dyDescent="0.25">
      <c r="C465" s="10"/>
      <c r="F465" s="17"/>
      <c r="M465" s="17"/>
      <c r="S465" s="17"/>
      <c r="U465" s="4"/>
      <c r="X465" s="17"/>
      <c r="Z465" s="21"/>
      <c r="AA465" s="5"/>
    </row>
    <row r="466" spans="3:27" x14ac:dyDescent="0.25">
      <c r="C466" s="10"/>
      <c r="F466" s="17"/>
      <c r="M466" s="17"/>
      <c r="S466" s="17"/>
      <c r="U466" s="4"/>
      <c r="X466" s="17"/>
      <c r="Z466" s="21"/>
      <c r="AA466" s="5"/>
    </row>
    <row r="467" spans="3:27" x14ac:dyDescent="0.25">
      <c r="C467" s="10"/>
      <c r="F467" s="17"/>
      <c r="M467" s="17"/>
      <c r="S467" s="17"/>
      <c r="U467" s="4"/>
      <c r="X467" s="17"/>
      <c r="Z467" s="21"/>
      <c r="AA467" s="5"/>
    </row>
    <row r="468" spans="3:27" x14ac:dyDescent="0.25">
      <c r="C468" s="10"/>
      <c r="F468" s="17"/>
      <c r="M468" s="17"/>
      <c r="S468" s="17"/>
      <c r="U468" s="4"/>
      <c r="X468" s="17"/>
      <c r="Z468" s="21"/>
      <c r="AA468" s="5"/>
    </row>
    <row r="469" spans="3:27" x14ac:dyDescent="0.25">
      <c r="C469" s="10"/>
      <c r="F469" s="17"/>
      <c r="M469" s="17"/>
      <c r="S469" s="17"/>
      <c r="U469" s="4"/>
      <c r="X469" s="17"/>
      <c r="Z469" s="21"/>
      <c r="AA469" s="5"/>
    </row>
    <row r="470" spans="3:27" x14ac:dyDescent="0.25">
      <c r="C470" s="10"/>
      <c r="F470" s="17"/>
      <c r="M470" s="17"/>
      <c r="S470" s="17"/>
      <c r="U470" s="4"/>
      <c r="X470" s="17"/>
      <c r="Z470" s="21"/>
      <c r="AA470" s="5"/>
    </row>
    <row r="471" spans="3:27" x14ac:dyDescent="0.25">
      <c r="C471" s="10"/>
      <c r="F471" s="17"/>
      <c r="M471" s="17"/>
      <c r="S471" s="17"/>
      <c r="U471" s="4"/>
      <c r="X471" s="17"/>
      <c r="Z471" s="21"/>
      <c r="AA471" s="5"/>
    </row>
    <row r="472" spans="3:27" x14ac:dyDescent="0.25">
      <c r="C472" s="10"/>
      <c r="F472" s="17"/>
      <c r="M472" s="17"/>
      <c r="S472" s="17"/>
      <c r="U472" s="4"/>
      <c r="X472" s="17"/>
      <c r="Z472" s="21"/>
      <c r="AA472" s="5"/>
    </row>
    <row r="473" spans="3:27" x14ac:dyDescent="0.25">
      <c r="C473" s="10"/>
      <c r="F473" s="17"/>
      <c r="M473" s="17"/>
      <c r="S473" s="17"/>
      <c r="U473" s="4"/>
      <c r="X473" s="17"/>
      <c r="Z473" s="21"/>
      <c r="AA473" s="5"/>
    </row>
    <row r="474" spans="3:27" x14ac:dyDescent="0.25">
      <c r="C474" s="10"/>
      <c r="F474" s="17"/>
      <c r="M474" s="17"/>
      <c r="S474" s="17"/>
      <c r="U474" s="4"/>
      <c r="X474" s="17"/>
      <c r="Z474" s="21"/>
      <c r="AA474" s="5"/>
    </row>
    <row r="475" spans="3:27" x14ac:dyDescent="0.25">
      <c r="C475" s="10"/>
      <c r="F475" s="17"/>
      <c r="M475" s="17"/>
      <c r="S475" s="17"/>
      <c r="U475" s="4"/>
      <c r="X475" s="17"/>
      <c r="Z475" s="21"/>
      <c r="AA475" s="5"/>
    </row>
    <row r="476" spans="3:27" x14ac:dyDescent="0.25">
      <c r="C476" s="10"/>
      <c r="F476" s="17"/>
      <c r="M476" s="17"/>
      <c r="S476" s="17"/>
      <c r="U476" s="4"/>
      <c r="X476" s="17"/>
      <c r="Z476" s="21"/>
      <c r="AA476" s="5"/>
    </row>
    <row r="477" spans="3:27" x14ac:dyDescent="0.25">
      <c r="C477" s="10"/>
      <c r="F477" s="17"/>
      <c r="M477" s="17"/>
      <c r="S477" s="17"/>
      <c r="U477" s="4"/>
      <c r="X477" s="17"/>
      <c r="Z477" s="21"/>
      <c r="AA477" s="5"/>
    </row>
    <row r="478" spans="3:27" x14ac:dyDescent="0.25">
      <c r="C478" s="10"/>
      <c r="F478" s="17"/>
      <c r="M478" s="17"/>
      <c r="S478" s="17"/>
      <c r="U478" s="4"/>
      <c r="X478" s="17"/>
      <c r="Z478" s="21"/>
      <c r="AA478" s="5"/>
    </row>
    <row r="479" spans="3:27" x14ac:dyDescent="0.25">
      <c r="C479" s="10"/>
      <c r="F479" s="17"/>
      <c r="M479" s="17"/>
      <c r="S479" s="17"/>
      <c r="U479" s="4"/>
      <c r="X479" s="17"/>
      <c r="Z479" s="21"/>
      <c r="AA479" s="5"/>
    </row>
    <row r="480" spans="3:27" x14ac:dyDescent="0.25">
      <c r="C480" s="10"/>
      <c r="F480" s="17"/>
      <c r="M480" s="17"/>
      <c r="S480" s="17"/>
      <c r="U480" s="4"/>
      <c r="X480" s="17"/>
      <c r="Z480" s="21"/>
      <c r="AA480" s="5"/>
    </row>
    <row r="481" spans="3:27" x14ac:dyDescent="0.25">
      <c r="C481" s="10"/>
      <c r="F481" s="17"/>
      <c r="M481" s="17"/>
      <c r="S481" s="17"/>
      <c r="U481" s="4"/>
      <c r="X481" s="17"/>
      <c r="Z481" s="21"/>
      <c r="AA481" s="5"/>
    </row>
    <row r="482" spans="3:27" x14ac:dyDescent="0.25">
      <c r="C482" s="10"/>
      <c r="F482" s="17"/>
      <c r="M482" s="17"/>
      <c r="S482" s="17"/>
      <c r="U482" s="4"/>
      <c r="X482" s="17"/>
      <c r="Z482" s="21"/>
      <c r="AA482" s="5"/>
    </row>
    <row r="483" spans="3:27" x14ac:dyDescent="0.25">
      <c r="C483" s="10"/>
      <c r="F483" s="17"/>
      <c r="M483" s="17"/>
      <c r="S483" s="17"/>
      <c r="U483" s="4"/>
      <c r="X483" s="17"/>
      <c r="Z483" s="21"/>
      <c r="AA483" s="5"/>
    </row>
    <row r="484" spans="3:27" x14ac:dyDescent="0.25">
      <c r="C484" s="10"/>
      <c r="F484" s="17"/>
      <c r="M484" s="17"/>
      <c r="S484" s="17"/>
      <c r="U484" s="4"/>
      <c r="X484" s="17"/>
      <c r="Z484" s="21"/>
      <c r="AA484" s="5"/>
    </row>
    <row r="485" spans="3:27" x14ac:dyDescent="0.25">
      <c r="C485" s="10"/>
      <c r="F485" s="17"/>
      <c r="M485" s="17"/>
      <c r="S485" s="17"/>
      <c r="U485" s="4"/>
      <c r="X485" s="17"/>
      <c r="Z485" s="21"/>
      <c r="AA485" s="5"/>
    </row>
    <row r="486" spans="3:27" x14ac:dyDescent="0.25">
      <c r="C486" s="10"/>
      <c r="F486" s="17"/>
      <c r="M486" s="17"/>
      <c r="S486" s="17"/>
      <c r="U486" s="4"/>
      <c r="X486" s="17"/>
      <c r="Z486" s="21"/>
      <c r="AA486" s="5"/>
    </row>
    <row r="487" spans="3:27" x14ac:dyDescent="0.25">
      <c r="C487" s="10"/>
      <c r="F487" s="17"/>
      <c r="M487" s="17"/>
      <c r="S487" s="17"/>
      <c r="U487" s="4"/>
      <c r="X487" s="17"/>
      <c r="Z487" s="21"/>
      <c r="AA487" s="5"/>
    </row>
    <row r="488" spans="3:27" x14ac:dyDescent="0.25">
      <c r="C488" s="10"/>
      <c r="F488" s="17"/>
      <c r="M488" s="17"/>
      <c r="S488" s="17"/>
      <c r="U488" s="4"/>
      <c r="X488" s="17"/>
      <c r="Z488" s="21"/>
      <c r="AA488" s="5"/>
    </row>
    <row r="489" spans="3:27" x14ac:dyDescent="0.25">
      <c r="C489" s="10"/>
      <c r="F489" s="17"/>
      <c r="M489" s="17"/>
      <c r="S489" s="17"/>
      <c r="U489" s="4"/>
      <c r="X489" s="17"/>
      <c r="Z489" s="21"/>
      <c r="AA489" s="5"/>
    </row>
    <row r="490" spans="3:27" x14ac:dyDescent="0.25">
      <c r="C490" s="10"/>
      <c r="F490" s="17"/>
      <c r="M490" s="17"/>
      <c r="S490" s="17"/>
      <c r="U490" s="4"/>
      <c r="X490" s="17"/>
      <c r="Z490" s="21"/>
      <c r="AA490" s="5"/>
    </row>
    <row r="491" spans="3:27" x14ac:dyDescent="0.25">
      <c r="C491" s="10"/>
      <c r="F491" s="17"/>
      <c r="M491" s="17"/>
      <c r="S491" s="17"/>
      <c r="U491" s="4"/>
      <c r="X491" s="17"/>
      <c r="Z491" s="21"/>
      <c r="AA491" s="5"/>
    </row>
    <row r="492" spans="3:27" x14ac:dyDescent="0.25">
      <c r="C492" s="10"/>
      <c r="F492" s="17"/>
      <c r="M492" s="17"/>
      <c r="S492" s="17"/>
      <c r="U492" s="4"/>
      <c r="X492" s="17"/>
      <c r="Z492" s="21"/>
      <c r="AA492" s="5"/>
    </row>
    <row r="493" spans="3:27" x14ac:dyDescent="0.25">
      <c r="C493" s="10"/>
      <c r="F493" s="17"/>
      <c r="M493" s="17"/>
      <c r="S493" s="17"/>
      <c r="U493" s="4"/>
      <c r="X493" s="17"/>
      <c r="Z493" s="21"/>
      <c r="AA493" s="5"/>
    </row>
    <row r="494" spans="3:27" x14ac:dyDescent="0.25">
      <c r="C494" s="10"/>
      <c r="F494" s="17"/>
      <c r="M494" s="17"/>
      <c r="S494" s="17"/>
      <c r="U494" s="4"/>
      <c r="X494" s="17"/>
      <c r="Z494" s="21"/>
      <c r="AA494" s="5"/>
    </row>
    <row r="495" spans="3:27" x14ac:dyDescent="0.25">
      <c r="C495" s="10"/>
      <c r="F495" s="17"/>
      <c r="M495" s="17"/>
      <c r="S495" s="17"/>
      <c r="U495" s="4"/>
      <c r="X495" s="17"/>
      <c r="Z495" s="21"/>
      <c r="AA495" s="5"/>
    </row>
    <row r="496" spans="3:27" x14ac:dyDescent="0.25">
      <c r="C496" s="10"/>
      <c r="F496" s="17"/>
      <c r="M496" s="17"/>
      <c r="S496" s="17"/>
      <c r="U496" s="4"/>
      <c r="X496" s="17"/>
      <c r="Z496" s="21"/>
      <c r="AA496" s="5"/>
    </row>
    <row r="497" spans="3:27" x14ac:dyDescent="0.25">
      <c r="C497" s="10"/>
      <c r="F497" s="17"/>
      <c r="M497" s="17"/>
      <c r="S497" s="17"/>
      <c r="U497" s="4"/>
      <c r="X497" s="17"/>
      <c r="Z497" s="21"/>
      <c r="AA497" s="5"/>
    </row>
    <row r="498" spans="3:27" x14ac:dyDescent="0.25">
      <c r="C498" s="10"/>
      <c r="F498" s="17"/>
      <c r="M498" s="17"/>
      <c r="S498" s="17"/>
      <c r="U498" s="4"/>
      <c r="X498" s="17"/>
      <c r="Z498" s="21"/>
      <c r="AA498" s="5"/>
    </row>
    <row r="499" spans="3:27" x14ac:dyDescent="0.25">
      <c r="C499" s="10"/>
      <c r="F499" s="17"/>
      <c r="M499" s="17"/>
      <c r="S499" s="17"/>
      <c r="U499" s="4"/>
      <c r="X499" s="17"/>
      <c r="Z499" s="21"/>
      <c r="AA499" s="5"/>
    </row>
    <row r="500" spans="3:27" x14ac:dyDescent="0.25">
      <c r="C500" s="10"/>
      <c r="F500" s="17"/>
      <c r="M500" s="17"/>
      <c r="S500" s="17"/>
      <c r="U500" s="4"/>
      <c r="X500" s="17"/>
      <c r="Z500" s="21"/>
      <c r="AA500" s="5"/>
    </row>
    <row r="501" spans="3:27" x14ac:dyDescent="0.25">
      <c r="C501" s="10"/>
      <c r="F501" s="17"/>
      <c r="M501" s="17"/>
      <c r="S501" s="17"/>
      <c r="U501" s="4"/>
      <c r="X501" s="17"/>
      <c r="Z501" s="21"/>
      <c r="AA501" s="5"/>
    </row>
    <row r="502" spans="3:27" x14ac:dyDescent="0.25">
      <c r="C502" s="10"/>
      <c r="F502" s="17"/>
      <c r="M502" s="17"/>
      <c r="S502" s="17"/>
      <c r="U502" s="4"/>
      <c r="X502" s="17"/>
      <c r="Z502" s="21"/>
      <c r="AA502" s="5"/>
    </row>
    <row r="503" spans="3:27" x14ac:dyDescent="0.25">
      <c r="C503" s="10"/>
      <c r="F503" s="17"/>
      <c r="M503" s="17"/>
      <c r="S503" s="17"/>
      <c r="U503" s="4"/>
      <c r="X503" s="17"/>
      <c r="Z503" s="21"/>
      <c r="AA503" s="5"/>
    </row>
    <row r="504" spans="3:27" x14ac:dyDescent="0.25">
      <c r="C504" s="10"/>
      <c r="F504" s="17"/>
      <c r="M504" s="17"/>
      <c r="S504" s="17"/>
      <c r="U504" s="4"/>
      <c r="X504" s="17"/>
      <c r="Z504" s="21"/>
      <c r="AA504" s="5"/>
    </row>
    <row r="505" spans="3:27" x14ac:dyDescent="0.25">
      <c r="C505" s="10"/>
      <c r="F505" s="17"/>
      <c r="M505" s="17"/>
      <c r="S505" s="17"/>
      <c r="U505" s="4"/>
      <c r="X505" s="17"/>
      <c r="Z505" s="21"/>
      <c r="AA505" s="5"/>
    </row>
    <row r="506" spans="3:27" x14ac:dyDescent="0.25">
      <c r="C506" s="10"/>
      <c r="F506" s="17"/>
      <c r="M506" s="17"/>
      <c r="S506" s="17"/>
      <c r="U506" s="4"/>
      <c r="X506" s="17"/>
      <c r="Z506" s="21"/>
      <c r="AA506" s="5"/>
    </row>
    <row r="507" spans="3:27" x14ac:dyDescent="0.25">
      <c r="C507" s="10"/>
      <c r="F507" s="17"/>
      <c r="M507" s="17"/>
      <c r="S507" s="17"/>
      <c r="U507" s="4"/>
      <c r="X507" s="17"/>
      <c r="Z507" s="21"/>
      <c r="AA507" s="5"/>
    </row>
    <row r="508" spans="3:27" x14ac:dyDescent="0.25">
      <c r="C508" s="10"/>
      <c r="F508" s="17"/>
      <c r="M508" s="17"/>
      <c r="S508" s="17"/>
      <c r="U508" s="4"/>
      <c r="X508" s="17"/>
      <c r="Z508" s="21"/>
      <c r="AA508" s="5"/>
    </row>
    <row r="509" spans="3:27" x14ac:dyDescent="0.25">
      <c r="C509" s="10"/>
      <c r="F509" s="17"/>
      <c r="M509" s="17"/>
      <c r="S509" s="17"/>
      <c r="U509" s="4"/>
      <c r="X509" s="17"/>
      <c r="Z509" s="21"/>
      <c r="AA509" s="5"/>
    </row>
    <row r="510" spans="3:27" x14ac:dyDescent="0.25">
      <c r="C510" s="10"/>
      <c r="F510" s="17"/>
      <c r="M510" s="17"/>
      <c r="S510" s="17"/>
      <c r="U510" s="4"/>
      <c r="X510" s="17"/>
      <c r="Z510" s="21"/>
      <c r="AA510" s="5"/>
    </row>
    <row r="511" spans="3:27" x14ac:dyDescent="0.25">
      <c r="C511" s="10"/>
      <c r="F511" s="17"/>
      <c r="M511" s="17"/>
      <c r="S511" s="17"/>
      <c r="U511" s="4"/>
      <c r="X511" s="17"/>
      <c r="Z511" s="21"/>
      <c r="AA511" s="5"/>
    </row>
    <row r="512" spans="3:27" x14ac:dyDescent="0.25">
      <c r="C512" s="10"/>
      <c r="F512" s="17"/>
      <c r="M512" s="17"/>
      <c r="S512" s="17"/>
      <c r="U512" s="4"/>
      <c r="X512" s="17"/>
      <c r="Z512" s="21"/>
      <c r="AA512" s="5"/>
    </row>
    <row r="513" spans="3:27" x14ac:dyDescent="0.25">
      <c r="C513" s="10"/>
      <c r="F513" s="17"/>
      <c r="M513" s="17"/>
      <c r="S513" s="17"/>
      <c r="U513" s="4"/>
      <c r="X513" s="17"/>
      <c r="Z513" s="21"/>
      <c r="AA513" s="5"/>
    </row>
    <row r="514" spans="3:27" x14ac:dyDescent="0.25">
      <c r="C514" s="10"/>
      <c r="F514" s="17"/>
      <c r="M514" s="17"/>
      <c r="S514" s="17"/>
      <c r="U514" s="4"/>
      <c r="X514" s="17"/>
      <c r="Z514" s="21"/>
      <c r="AA514" s="5"/>
    </row>
    <row r="515" spans="3:27" x14ac:dyDescent="0.25">
      <c r="C515" s="10"/>
      <c r="F515" s="17"/>
      <c r="M515" s="17"/>
      <c r="S515" s="17"/>
      <c r="U515" s="4"/>
      <c r="X515" s="17"/>
      <c r="Z515" s="21"/>
      <c r="AA515" s="5"/>
    </row>
    <row r="516" spans="3:27" x14ac:dyDescent="0.25">
      <c r="C516" s="10"/>
      <c r="F516" s="17"/>
      <c r="M516" s="17"/>
      <c r="S516" s="17"/>
      <c r="U516" s="4"/>
      <c r="X516" s="17"/>
      <c r="Z516" s="21"/>
      <c r="AA516" s="5"/>
    </row>
    <row r="517" spans="3:27" x14ac:dyDescent="0.25">
      <c r="C517" s="10"/>
      <c r="F517" s="17"/>
      <c r="M517" s="17"/>
      <c r="S517" s="17"/>
      <c r="U517" s="4"/>
      <c r="X517" s="17"/>
      <c r="Z517" s="21"/>
      <c r="AA517" s="5"/>
    </row>
    <row r="518" spans="3:27" x14ac:dyDescent="0.25">
      <c r="C518" s="10"/>
      <c r="F518" s="17"/>
      <c r="M518" s="17"/>
      <c r="S518" s="17"/>
      <c r="U518" s="4"/>
      <c r="X518" s="17"/>
      <c r="Z518" s="21"/>
      <c r="AA518" s="5"/>
    </row>
    <row r="519" spans="3:27" x14ac:dyDescent="0.25">
      <c r="C519" s="10"/>
      <c r="F519" s="17"/>
      <c r="M519" s="17"/>
      <c r="S519" s="17"/>
      <c r="U519" s="4"/>
      <c r="X519" s="17"/>
      <c r="Z519" s="21"/>
      <c r="AA519" s="5"/>
    </row>
    <row r="520" spans="3:27" x14ac:dyDescent="0.25">
      <c r="C520" s="10"/>
      <c r="F520" s="17"/>
      <c r="M520" s="17"/>
      <c r="S520" s="17"/>
      <c r="U520" s="4"/>
      <c r="X520" s="17"/>
      <c r="Z520" s="21"/>
      <c r="AA520" s="5"/>
    </row>
    <row r="521" spans="3:27" x14ac:dyDescent="0.25">
      <c r="C521" s="10"/>
      <c r="F521" s="17"/>
      <c r="M521" s="17"/>
      <c r="S521" s="17"/>
      <c r="U521" s="4"/>
      <c r="X521" s="17"/>
      <c r="Z521" s="21"/>
      <c r="AA521" s="5"/>
    </row>
    <row r="522" spans="3:27" x14ac:dyDescent="0.25">
      <c r="C522" s="10"/>
      <c r="F522" s="17"/>
      <c r="M522" s="17"/>
      <c r="S522" s="17"/>
      <c r="U522" s="4"/>
      <c r="X522" s="17"/>
      <c r="Z522" s="21"/>
      <c r="AA522" s="5"/>
    </row>
    <row r="523" spans="3:27" x14ac:dyDescent="0.25">
      <c r="C523" s="10"/>
      <c r="F523" s="17"/>
      <c r="M523" s="17"/>
      <c r="S523" s="17"/>
      <c r="U523" s="4"/>
      <c r="X523" s="17"/>
      <c r="Z523" s="21"/>
      <c r="AA523" s="5"/>
    </row>
    <row r="524" spans="3:27" x14ac:dyDescent="0.25">
      <c r="C524" s="10"/>
      <c r="F524" s="17"/>
      <c r="M524" s="17"/>
      <c r="S524" s="17"/>
      <c r="U524" s="4"/>
      <c r="X524" s="17"/>
      <c r="Z524" s="21"/>
      <c r="AA524" s="5"/>
    </row>
    <row r="525" spans="3:27" x14ac:dyDescent="0.25">
      <c r="C525" s="10"/>
      <c r="F525" s="17"/>
      <c r="M525" s="17"/>
      <c r="S525" s="17"/>
      <c r="U525" s="4"/>
      <c r="X525" s="17"/>
      <c r="Z525" s="21"/>
      <c r="AA525" s="5"/>
    </row>
    <row r="526" spans="3:27" x14ac:dyDescent="0.25">
      <c r="C526" s="10"/>
      <c r="F526" s="17"/>
      <c r="M526" s="17"/>
      <c r="S526" s="17"/>
      <c r="U526" s="4"/>
      <c r="X526" s="17"/>
      <c r="Z526" s="21"/>
      <c r="AA526" s="5"/>
    </row>
    <row r="527" spans="3:27" x14ac:dyDescent="0.25">
      <c r="C527" s="10"/>
      <c r="F527" s="17"/>
      <c r="M527" s="17"/>
      <c r="S527" s="17"/>
      <c r="U527" s="4"/>
      <c r="X527" s="17"/>
      <c r="Z527" s="21"/>
      <c r="AA527" s="5"/>
    </row>
    <row r="528" spans="3:27" x14ac:dyDescent="0.25">
      <c r="C528" s="10"/>
      <c r="F528" s="17"/>
      <c r="M528" s="17"/>
      <c r="S528" s="17"/>
      <c r="U528" s="4"/>
      <c r="X528" s="17"/>
      <c r="Z528" s="21"/>
      <c r="AA528" s="5"/>
    </row>
    <row r="529" spans="3:27" x14ac:dyDescent="0.25">
      <c r="C529" s="10"/>
      <c r="F529" s="17"/>
      <c r="M529" s="17"/>
      <c r="S529" s="17"/>
      <c r="U529" s="4"/>
      <c r="X529" s="17"/>
      <c r="Z529" s="21"/>
      <c r="AA529" s="5"/>
    </row>
    <row r="530" spans="3:27" x14ac:dyDescent="0.25">
      <c r="C530" s="10"/>
      <c r="F530" s="17"/>
      <c r="M530" s="17"/>
      <c r="S530" s="17"/>
      <c r="U530" s="4"/>
      <c r="X530" s="17"/>
      <c r="Z530" s="21"/>
      <c r="AA530" s="5"/>
    </row>
    <row r="531" spans="3:27" x14ac:dyDescent="0.25">
      <c r="C531" s="10"/>
      <c r="F531" s="17"/>
      <c r="M531" s="17"/>
      <c r="S531" s="17"/>
      <c r="U531" s="4"/>
      <c r="X531" s="17"/>
      <c r="Z531" s="21"/>
      <c r="AA531" s="5"/>
    </row>
    <row r="532" spans="3:27" x14ac:dyDescent="0.25">
      <c r="C532" s="10"/>
      <c r="F532" s="17"/>
      <c r="M532" s="17"/>
      <c r="S532" s="17"/>
      <c r="U532" s="4"/>
      <c r="X532" s="17"/>
      <c r="Z532" s="21"/>
      <c r="AA532" s="5"/>
    </row>
    <row r="533" spans="3:27" x14ac:dyDescent="0.25">
      <c r="C533" s="10"/>
      <c r="F533" s="17"/>
      <c r="M533" s="17"/>
      <c r="S533" s="17"/>
      <c r="U533" s="4"/>
      <c r="X533" s="17"/>
      <c r="Z533" s="21"/>
      <c r="AA533" s="5"/>
    </row>
    <row r="534" spans="3:27" x14ac:dyDescent="0.25">
      <c r="C534" s="10"/>
      <c r="F534" s="17"/>
      <c r="M534" s="17"/>
      <c r="S534" s="17"/>
      <c r="U534" s="4"/>
      <c r="X534" s="17"/>
      <c r="Z534" s="21"/>
      <c r="AA534" s="5"/>
    </row>
    <row r="535" spans="3:27" x14ac:dyDescent="0.25">
      <c r="C535" s="10"/>
      <c r="F535" s="17"/>
      <c r="M535" s="17"/>
      <c r="S535" s="17"/>
      <c r="U535" s="4"/>
      <c r="X535" s="17"/>
      <c r="Z535" s="21"/>
      <c r="AA535" s="5"/>
    </row>
    <row r="536" spans="3:27" x14ac:dyDescent="0.25">
      <c r="C536" s="10"/>
      <c r="F536" s="17"/>
      <c r="M536" s="17"/>
      <c r="S536" s="17"/>
      <c r="U536" s="4"/>
      <c r="X536" s="17"/>
      <c r="Z536" s="21"/>
      <c r="AA536" s="5"/>
    </row>
    <row r="537" spans="3:27" x14ac:dyDescent="0.25">
      <c r="C537" s="10"/>
      <c r="F537" s="17"/>
      <c r="M537" s="17"/>
      <c r="S537" s="17"/>
      <c r="U537" s="4"/>
      <c r="X537" s="17"/>
      <c r="Z537" s="21"/>
      <c r="AA537" s="5"/>
    </row>
    <row r="538" spans="3:27" x14ac:dyDescent="0.25">
      <c r="C538" s="10"/>
      <c r="F538" s="17"/>
      <c r="M538" s="17"/>
      <c r="S538" s="17"/>
      <c r="U538" s="4"/>
      <c r="X538" s="17"/>
      <c r="Z538" s="21"/>
      <c r="AA538" s="5"/>
    </row>
    <row r="539" spans="3:27" x14ac:dyDescent="0.25">
      <c r="C539" s="10"/>
      <c r="F539" s="17"/>
      <c r="M539" s="17"/>
      <c r="S539" s="17"/>
      <c r="U539" s="4"/>
      <c r="X539" s="17"/>
      <c r="Z539" s="21"/>
      <c r="AA539" s="5"/>
    </row>
    <row r="540" spans="3:27" x14ac:dyDescent="0.25">
      <c r="C540" s="10"/>
      <c r="F540" s="17"/>
      <c r="M540" s="17"/>
      <c r="S540" s="17"/>
      <c r="U540" s="4"/>
      <c r="X540" s="17"/>
      <c r="Z540" s="21"/>
      <c r="AA540" s="5"/>
    </row>
    <row r="541" spans="3:27" x14ac:dyDescent="0.25">
      <c r="C541" s="10"/>
      <c r="F541" s="17"/>
      <c r="M541" s="17"/>
      <c r="S541" s="17"/>
      <c r="U541" s="4"/>
      <c r="X541" s="17"/>
      <c r="Z541" s="21"/>
      <c r="AA541" s="5"/>
    </row>
    <row r="542" spans="3:27" x14ac:dyDescent="0.25">
      <c r="C542" s="10"/>
      <c r="F542" s="17"/>
      <c r="M542" s="17"/>
      <c r="S542" s="17"/>
      <c r="U542" s="4"/>
      <c r="X542" s="17"/>
      <c r="Z542" s="21"/>
      <c r="AA542" s="5"/>
    </row>
    <row r="543" spans="3:27" x14ac:dyDescent="0.25">
      <c r="C543" s="10"/>
      <c r="F543" s="17"/>
      <c r="M543" s="17"/>
      <c r="S543" s="17"/>
      <c r="U543" s="4"/>
      <c r="X543" s="17"/>
      <c r="Z543" s="21"/>
      <c r="AA543" s="5"/>
    </row>
    <row r="544" spans="3:27" x14ac:dyDescent="0.25">
      <c r="C544" s="10"/>
      <c r="F544" s="17"/>
      <c r="M544" s="17"/>
      <c r="S544" s="17"/>
      <c r="U544" s="4"/>
      <c r="X544" s="17"/>
      <c r="Z544" s="21"/>
      <c r="AA544" s="5"/>
    </row>
    <row r="545" spans="3:27" x14ac:dyDescent="0.25">
      <c r="C545" s="10"/>
      <c r="F545" s="17"/>
      <c r="M545" s="17"/>
      <c r="S545" s="17"/>
      <c r="U545" s="4"/>
      <c r="X545" s="17"/>
      <c r="Z545" s="21"/>
      <c r="AA545" s="5"/>
    </row>
    <row r="546" spans="3:27" x14ac:dyDescent="0.25">
      <c r="C546" s="10"/>
      <c r="F546" s="17"/>
      <c r="M546" s="17"/>
      <c r="S546" s="17"/>
      <c r="U546" s="4"/>
      <c r="X546" s="17"/>
      <c r="Z546" s="21"/>
      <c r="AA546" s="5"/>
    </row>
    <row r="547" spans="3:27" x14ac:dyDescent="0.25">
      <c r="C547" s="10"/>
      <c r="F547" s="17"/>
      <c r="M547" s="17"/>
      <c r="S547" s="17"/>
      <c r="U547" s="4"/>
      <c r="X547" s="17"/>
      <c r="Z547" s="21"/>
      <c r="AA547" s="5"/>
    </row>
    <row r="548" spans="3:27" x14ac:dyDescent="0.25">
      <c r="C548" s="10"/>
      <c r="F548" s="17"/>
      <c r="M548" s="17"/>
      <c r="S548" s="17"/>
      <c r="U548" s="4"/>
      <c r="X548" s="17"/>
      <c r="Z548" s="21"/>
      <c r="AA548" s="5"/>
    </row>
    <row r="549" spans="3:27" x14ac:dyDescent="0.25">
      <c r="C549" s="10"/>
      <c r="F549" s="17"/>
      <c r="M549" s="17"/>
      <c r="S549" s="17"/>
      <c r="U549" s="4"/>
      <c r="X549" s="17"/>
      <c r="Z549" s="21"/>
      <c r="AA549" s="5"/>
    </row>
    <row r="550" spans="3:27" x14ac:dyDescent="0.25">
      <c r="C550" s="10"/>
      <c r="F550" s="17"/>
      <c r="M550" s="17"/>
      <c r="S550" s="17"/>
      <c r="U550" s="4"/>
      <c r="X550" s="17"/>
      <c r="Z550" s="21"/>
      <c r="AA550" s="5"/>
    </row>
    <row r="551" spans="3:27" x14ac:dyDescent="0.25">
      <c r="C551" s="10"/>
      <c r="F551" s="17"/>
      <c r="M551" s="17"/>
      <c r="S551" s="17"/>
      <c r="U551" s="4"/>
      <c r="X551" s="17"/>
      <c r="Z551" s="21"/>
      <c r="AA551" s="5"/>
    </row>
    <row r="552" spans="3:27" x14ac:dyDescent="0.25">
      <c r="C552" s="10"/>
      <c r="F552" s="17"/>
      <c r="M552" s="17"/>
      <c r="S552" s="17"/>
      <c r="U552" s="4"/>
      <c r="X552" s="17"/>
      <c r="Z552" s="21"/>
      <c r="AA552" s="5"/>
    </row>
    <row r="553" spans="3:27" x14ac:dyDescent="0.25">
      <c r="C553" s="10"/>
      <c r="F553" s="17"/>
      <c r="M553" s="17"/>
      <c r="S553" s="17"/>
      <c r="U553" s="4"/>
      <c r="X553" s="17"/>
      <c r="Z553" s="21"/>
      <c r="AA553" s="5"/>
    </row>
    <row r="554" spans="3:27" x14ac:dyDescent="0.25">
      <c r="C554" s="10"/>
      <c r="F554" s="17"/>
      <c r="M554" s="17"/>
      <c r="S554" s="17"/>
      <c r="U554" s="4"/>
      <c r="X554" s="17"/>
      <c r="Z554" s="21"/>
      <c r="AA554" s="5"/>
    </row>
    <row r="555" spans="3:27" x14ac:dyDescent="0.25">
      <c r="C555" s="10"/>
      <c r="F555" s="17"/>
      <c r="M555" s="17"/>
      <c r="S555" s="17"/>
      <c r="U555" s="4"/>
      <c r="X555" s="17"/>
      <c r="Z555" s="21"/>
      <c r="AA555" s="5"/>
    </row>
    <row r="556" spans="3:27" x14ac:dyDescent="0.25">
      <c r="C556" s="10"/>
      <c r="F556" s="17"/>
      <c r="M556" s="17"/>
      <c r="S556" s="17"/>
      <c r="U556" s="4"/>
      <c r="X556" s="17"/>
      <c r="Z556" s="21"/>
      <c r="AA556" s="5"/>
    </row>
    <row r="557" spans="3:27" x14ac:dyDescent="0.25">
      <c r="C557" s="10"/>
      <c r="F557" s="17"/>
      <c r="M557" s="17"/>
      <c r="S557" s="17"/>
      <c r="U557" s="4"/>
      <c r="X557" s="17"/>
      <c r="Z557" s="21"/>
      <c r="AA557" s="5"/>
    </row>
    <row r="558" spans="3:27" x14ac:dyDescent="0.25">
      <c r="C558" s="10"/>
      <c r="F558" s="17"/>
      <c r="M558" s="17"/>
      <c r="S558" s="17"/>
      <c r="U558" s="4"/>
      <c r="X558" s="17"/>
      <c r="Z558" s="21"/>
      <c r="AA558" s="5"/>
    </row>
    <row r="559" spans="3:27" x14ac:dyDescent="0.25">
      <c r="C559" s="10"/>
      <c r="F559" s="17"/>
      <c r="M559" s="17"/>
      <c r="S559" s="17"/>
      <c r="U559" s="4"/>
      <c r="X559" s="17"/>
      <c r="Z559" s="21"/>
      <c r="AA559" s="5"/>
    </row>
    <row r="560" spans="3:27" x14ac:dyDescent="0.25">
      <c r="C560" s="10"/>
      <c r="F560" s="17"/>
      <c r="M560" s="17"/>
      <c r="S560" s="17"/>
      <c r="U560" s="4"/>
      <c r="X560" s="17"/>
      <c r="Z560" s="21"/>
      <c r="AA560" s="5"/>
    </row>
    <row r="561" spans="3:27" x14ac:dyDescent="0.25">
      <c r="C561" s="10"/>
      <c r="F561" s="17"/>
      <c r="M561" s="17"/>
      <c r="S561" s="17"/>
      <c r="U561" s="4"/>
      <c r="X561" s="17"/>
      <c r="Z561" s="21"/>
      <c r="AA561" s="5"/>
    </row>
    <row r="562" spans="3:27" x14ac:dyDescent="0.25">
      <c r="C562" s="10"/>
      <c r="F562" s="17"/>
      <c r="M562" s="17"/>
      <c r="S562" s="17"/>
      <c r="U562" s="4"/>
      <c r="X562" s="17"/>
      <c r="Z562" s="21"/>
      <c r="AA562" s="5"/>
    </row>
    <row r="563" spans="3:27" x14ac:dyDescent="0.25">
      <c r="C563" s="10"/>
      <c r="F563" s="17"/>
      <c r="M563" s="17"/>
      <c r="S563" s="17"/>
      <c r="U563" s="4"/>
      <c r="X563" s="17"/>
      <c r="Z563" s="21"/>
      <c r="AA563" s="5"/>
    </row>
    <row r="564" spans="3:27" x14ac:dyDescent="0.25">
      <c r="C564" s="10"/>
      <c r="F564" s="17"/>
      <c r="M564" s="17"/>
      <c r="S564" s="17"/>
      <c r="U564" s="4"/>
      <c r="X564" s="17"/>
      <c r="Z564" s="21"/>
      <c r="AA564" s="5"/>
    </row>
    <row r="565" spans="3:27" x14ac:dyDescent="0.25">
      <c r="C565" s="10"/>
      <c r="F565" s="17"/>
      <c r="M565" s="17"/>
      <c r="S565" s="17"/>
      <c r="U565" s="4"/>
      <c r="X565" s="17"/>
      <c r="Z565" s="21"/>
      <c r="AA565" s="5"/>
    </row>
    <row r="566" spans="3:27" x14ac:dyDescent="0.25">
      <c r="C566" s="10"/>
      <c r="F566" s="17"/>
      <c r="M566" s="17"/>
      <c r="S566" s="17"/>
      <c r="U566" s="4"/>
      <c r="X566" s="17"/>
      <c r="Z566" s="21"/>
      <c r="AA566" s="5"/>
    </row>
    <row r="567" spans="3:27" x14ac:dyDescent="0.25">
      <c r="C567" s="10"/>
      <c r="F567" s="17"/>
      <c r="M567" s="17"/>
      <c r="S567" s="17"/>
      <c r="U567" s="4"/>
      <c r="X567" s="17"/>
      <c r="Z567" s="21"/>
      <c r="AA567" s="5"/>
    </row>
    <row r="568" spans="3:27" x14ac:dyDescent="0.25">
      <c r="C568" s="10"/>
      <c r="F568" s="17"/>
      <c r="M568" s="17"/>
      <c r="S568" s="17"/>
      <c r="U568" s="4"/>
      <c r="X568" s="17"/>
      <c r="Z568" s="21"/>
      <c r="AA568" s="5"/>
    </row>
    <row r="569" spans="3:27" x14ac:dyDescent="0.25">
      <c r="C569" s="10"/>
      <c r="F569" s="17"/>
      <c r="M569" s="17"/>
      <c r="S569" s="17"/>
      <c r="U569" s="4"/>
      <c r="X569" s="17"/>
      <c r="Z569" s="21"/>
      <c r="AA569" s="5"/>
    </row>
    <row r="570" spans="3:27" x14ac:dyDescent="0.25">
      <c r="C570" s="10"/>
      <c r="F570" s="17"/>
      <c r="M570" s="17"/>
      <c r="S570" s="17"/>
      <c r="U570" s="4"/>
      <c r="X570" s="17"/>
      <c r="Z570" s="21"/>
      <c r="AA570" s="5"/>
    </row>
    <row r="571" spans="3:27" x14ac:dyDescent="0.25">
      <c r="C571" s="10"/>
      <c r="F571" s="17"/>
      <c r="M571" s="17"/>
      <c r="S571" s="17"/>
      <c r="U571" s="4"/>
      <c r="X571" s="17"/>
      <c r="Z571" s="21"/>
      <c r="AA571" s="5"/>
    </row>
    <row r="572" spans="3:27" x14ac:dyDescent="0.25">
      <c r="C572" s="10"/>
      <c r="F572" s="17"/>
      <c r="M572" s="17"/>
      <c r="S572" s="17"/>
      <c r="U572" s="4"/>
      <c r="X572" s="17"/>
      <c r="Z572" s="21"/>
      <c r="AA572" s="5"/>
    </row>
    <row r="573" spans="3:27" x14ac:dyDescent="0.25">
      <c r="C573" s="10"/>
      <c r="F573" s="17"/>
      <c r="M573" s="17"/>
      <c r="S573" s="17"/>
      <c r="U573" s="4"/>
      <c r="X573" s="17"/>
      <c r="Z573" s="21"/>
      <c r="AA573" s="5"/>
    </row>
    <row r="574" spans="3:27" x14ac:dyDescent="0.25">
      <c r="C574" s="10"/>
      <c r="F574" s="17"/>
      <c r="M574" s="17"/>
      <c r="S574" s="17"/>
      <c r="U574" s="4"/>
      <c r="X574" s="17"/>
      <c r="Z574" s="21"/>
      <c r="AA574" s="5"/>
    </row>
    <row r="575" spans="3:27" x14ac:dyDescent="0.25">
      <c r="C575" s="10"/>
      <c r="F575" s="17"/>
      <c r="M575" s="17"/>
      <c r="S575" s="17"/>
      <c r="U575" s="4"/>
      <c r="X575" s="17"/>
      <c r="Z575" s="21"/>
      <c r="AA575" s="5"/>
    </row>
    <row r="576" spans="3:27" x14ac:dyDescent="0.25">
      <c r="C576" s="10"/>
      <c r="F576" s="17"/>
      <c r="M576" s="17"/>
      <c r="S576" s="17"/>
      <c r="U576" s="4"/>
      <c r="X576" s="17"/>
      <c r="Z576" s="21"/>
      <c r="AA576" s="5"/>
    </row>
    <row r="577" spans="3:27" x14ac:dyDescent="0.25">
      <c r="C577" s="10"/>
      <c r="F577" s="17"/>
      <c r="M577" s="17"/>
      <c r="S577" s="17"/>
      <c r="U577" s="4"/>
      <c r="X577" s="17"/>
      <c r="Z577" s="21"/>
      <c r="AA577" s="5"/>
    </row>
    <row r="578" spans="3:27" x14ac:dyDescent="0.25">
      <c r="C578" s="10"/>
      <c r="F578" s="17"/>
      <c r="M578" s="17"/>
      <c r="S578" s="17"/>
      <c r="U578" s="4"/>
      <c r="X578" s="17"/>
      <c r="Z578" s="21"/>
      <c r="AA578" s="5"/>
    </row>
    <row r="579" spans="3:27" x14ac:dyDescent="0.25">
      <c r="C579" s="10"/>
      <c r="F579" s="17"/>
      <c r="M579" s="17"/>
      <c r="S579" s="17"/>
      <c r="U579" s="4"/>
      <c r="X579" s="17"/>
      <c r="Z579" s="21"/>
      <c r="AA579" s="5"/>
    </row>
    <row r="580" spans="3:27" x14ac:dyDescent="0.25">
      <c r="C580" s="10"/>
      <c r="F580" s="17"/>
      <c r="M580" s="17"/>
      <c r="S580" s="17"/>
      <c r="U580" s="4"/>
      <c r="X580" s="17"/>
      <c r="Z580" s="21"/>
      <c r="AA580" s="5"/>
    </row>
    <row r="581" spans="3:27" x14ac:dyDescent="0.25">
      <c r="C581" s="10"/>
      <c r="F581" s="17"/>
      <c r="M581" s="17"/>
      <c r="S581" s="17"/>
      <c r="U581" s="4"/>
      <c r="X581" s="17"/>
      <c r="Z581" s="21"/>
      <c r="AA581" s="5"/>
    </row>
    <row r="582" spans="3:27" x14ac:dyDescent="0.25">
      <c r="C582" s="10"/>
      <c r="F582" s="17"/>
      <c r="M582" s="17"/>
      <c r="S582" s="17"/>
      <c r="U582" s="4"/>
      <c r="X582" s="17"/>
      <c r="Z582" s="21"/>
      <c r="AA582" s="5"/>
    </row>
    <row r="583" spans="3:27" x14ac:dyDescent="0.25">
      <c r="C583" s="10"/>
      <c r="F583" s="17"/>
      <c r="M583" s="17"/>
      <c r="S583" s="17"/>
      <c r="U583" s="4"/>
      <c r="X583" s="17"/>
      <c r="Z583" s="21"/>
      <c r="AA583" s="5"/>
    </row>
    <row r="584" spans="3:27" x14ac:dyDescent="0.25">
      <c r="C584" s="10"/>
      <c r="F584" s="17"/>
      <c r="M584" s="17"/>
      <c r="S584" s="17"/>
      <c r="U584" s="4"/>
      <c r="X584" s="17"/>
      <c r="Z584" s="21"/>
      <c r="AA584" s="5"/>
    </row>
    <row r="585" spans="3:27" x14ac:dyDescent="0.25">
      <c r="C585" s="10"/>
      <c r="F585" s="17"/>
      <c r="M585" s="17"/>
      <c r="S585" s="17"/>
      <c r="U585" s="4"/>
      <c r="X585" s="17"/>
      <c r="Z585" s="21"/>
      <c r="AA585" s="5"/>
    </row>
    <row r="586" spans="3:27" x14ac:dyDescent="0.25">
      <c r="C586" s="10"/>
      <c r="F586" s="17"/>
      <c r="M586" s="17"/>
      <c r="S586" s="17"/>
      <c r="U586" s="4"/>
      <c r="X586" s="17"/>
      <c r="Z586" s="21"/>
      <c r="AA586" s="5"/>
    </row>
    <row r="587" spans="3:27" x14ac:dyDescent="0.25">
      <c r="C587" s="10"/>
      <c r="F587" s="17"/>
      <c r="M587" s="17"/>
      <c r="S587" s="17"/>
      <c r="U587" s="4"/>
      <c r="X587" s="17"/>
      <c r="Z587" s="21"/>
      <c r="AA587" s="5"/>
    </row>
    <row r="588" spans="3:27" x14ac:dyDescent="0.25">
      <c r="C588" s="10"/>
      <c r="F588" s="17"/>
      <c r="M588" s="17"/>
      <c r="S588" s="17"/>
      <c r="U588" s="4"/>
      <c r="X588" s="17"/>
      <c r="Z588" s="21"/>
      <c r="AA588" s="5"/>
    </row>
    <row r="589" spans="3:27" x14ac:dyDescent="0.25">
      <c r="C589" s="10"/>
      <c r="F589" s="17"/>
      <c r="M589" s="17"/>
      <c r="S589" s="17"/>
      <c r="U589" s="4"/>
      <c r="X589" s="17"/>
      <c r="Z589" s="21"/>
      <c r="AA589" s="5"/>
    </row>
    <row r="590" spans="3:27" x14ac:dyDescent="0.25">
      <c r="C590" s="10"/>
      <c r="F590" s="17"/>
      <c r="M590" s="17"/>
      <c r="S590" s="17"/>
      <c r="U590" s="4"/>
      <c r="X590" s="17"/>
      <c r="Z590" s="21"/>
      <c r="AA590" s="5"/>
    </row>
    <row r="591" spans="3:27" x14ac:dyDescent="0.25">
      <c r="C591" s="10"/>
      <c r="F591" s="17"/>
      <c r="M591" s="17"/>
      <c r="S591" s="17"/>
      <c r="U591" s="4"/>
      <c r="X591" s="17"/>
      <c r="Z591" s="21"/>
      <c r="AA591" s="5"/>
    </row>
    <row r="592" spans="3:27" x14ac:dyDescent="0.25">
      <c r="C592" s="10"/>
      <c r="F592" s="17"/>
      <c r="M592" s="17"/>
      <c r="S592" s="17"/>
      <c r="U592" s="4"/>
      <c r="X592" s="17"/>
      <c r="Z592" s="21"/>
      <c r="AA592" s="5"/>
    </row>
    <row r="593" spans="3:27" x14ac:dyDescent="0.25">
      <c r="C593" s="10"/>
      <c r="F593" s="17"/>
      <c r="M593" s="17"/>
      <c r="S593" s="17"/>
      <c r="U593" s="4"/>
      <c r="X593" s="17"/>
      <c r="Z593" s="21"/>
      <c r="AA593" s="5"/>
    </row>
    <row r="594" spans="3:27" x14ac:dyDescent="0.25">
      <c r="C594" s="10"/>
      <c r="F594" s="17"/>
      <c r="M594" s="17"/>
      <c r="S594" s="17"/>
      <c r="U594" s="4"/>
      <c r="X594" s="17"/>
      <c r="Z594" s="21"/>
      <c r="AA594" s="5"/>
    </row>
    <row r="595" spans="3:27" x14ac:dyDescent="0.25">
      <c r="C595" s="10"/>
      <c r="F595" s="17"/>
      <c r="M595" s="17"/>
      <c r="S595" s="17"/>
      <c r="U595" s="4"/>
      <c r="X595" s="17"/>
      <c r="Z595" s="21"/>
      <c r="AA595" s="5"/>
    </row>
    <row r="596" spans="3:27" x14ac:dyDescent="0.25">
      <c r="C596" s="10"/>
      <c r="F596" s="17"/>
      <c r="M596" s="17"/>
      <c r="S596" s="17"/>
      <c r="U596" s="4"/>
      <c r="X596" s="17"/>
      <c r="Z596" s="21"/>
      <c r="AA596" s="5"/>
    </row>
    <row r="597" spans="3:27" x14ac:dyDescent="0.25">
      <c r="C597" s="10"/>
      <c r="F597" s="17"/>
      <c r="M597" s="17"/>
      <c r="S597" s="17"/>
      <c r="U597" s="4"/>
      <c r="X597" s="17"/>
      <c r="Z597" s="21"/>
      <c r="AA597" s="5"/>
    </row>
    <row r="598" spans="3:27" x14ac:dyDescent="0.25">
      <c r="C598" s="10"/>
      <c r="F598" s="17"/>
      <c r="M598" s="17"/>
      <c r="S598" s="17"/>
      <c r="U598" s="4"/>
      <c r="X598" s="17"/>
      <c r="Z598" s="21"/>
      <c r="AA598" s="5"/>
    </row>
    <row r="599" spans="3:27" x14ac:dyDescent="0.25">
      <c r="C599" s="10"/>
      <c r="F599" s="17"/>
      <c r="M599" s="17"/>
      <c r="S599" s="17"/>
      <c r="U599" s="4"/>
      <c r="X599" s="17"/>
      <c r="Z599" s="21"/>
      <c r="AA599" s="5"/>
    </row>
    <row r="600" spans="3:27" x14ac:dyDescent="0.25">
      <c r="C600" s="10"/>
      <c r="F600" s="17"/>
      <c r="M600" s="17"/>
      <c r="S600" s="17"/>
      <c r="U600" s="4"/>
      <c r="X600" s="17"/>
      <c r="Z600" s="21"/>
      <c r="AA600" s="5"/>
    </row>
    <row r="601" spans="3:27" x14ac:dyDescent="0.25">
      <c r="C601" s="10"/>
      <c r="F601" s="17"/>
      <c r="M601" s="17"/>
      <c r="S601" s="17"/>
      <c r="U601" s="4"/>
      <c r="X601" s="17"/>
      <c r="Z601" s="21"/>
      <c r="AA601" s="5"/>
    </row>
    <row r="602" spans="3:27" x14ac:dyDescent="0.25">
      <c r="C602" s="10"/>
      <c r="F602" s="17"/>
      <c r="M602" s="17"/>
      <c r="S602" s="17"/>
      <c r="U602" s="4"/>
      <c r="X602" s="17"/>
      <c r="Z602" s="21"/>
      <c r="AA602" s="5"/>
    </row>
    <row r="603" spans="3:27" x14ac:dyDescent="0.25">
      <c r="C603" s="10"/>
      <c r="F603" s="17"/>
      <c r="M603" s="17"/>
      <c r="S603" s="17"/>
      <c r="U603" s="4"/>
      <c r="X603" s="17"/>
      <c r="Z603" s="21"/>
      <c r="AA603" s="5"/>
    </row>
    <row r="604" spans="3:27" x14ac:dyDescent="0.25">
      <c r="C604" s="10"/>
      <c r="F604" s="17"/>
      <c r="M604" s="17"/>
      <c r="S604" s="17"/>
      <c r="U604" s="4"/>
      <c r="X604" s="17"/>
      <c r="Z604" s="21"/>
      <c r="AA604" s="5"/>
    </row>
    <row r="605" spans="3:27" x14ac:dyDescent="0.25">
      <c r="C605" s="10"/>
      <c r="F605" s="17"/>
      <c r="M605" s="17"/>
      <c r="S605" s="17"/>
      <c r="U605" s="4"/>
      <c r="X605" s="17"/>
      <c r="Z605" s="21"/>
      <c r="AA605" s="5"/>
    </row>
    <row r="606" spans="3:27" x14ac:dyDescent="0.25">
      <c r="C606" s="10"/>
      <c r="F606" s="17"/>
      <c r="M606" s="17"/>
      <c r="S606" s="17"/>
      <c r="U606" s="4"/>
      <c r="X606" s="17"/>
      <c r="Z606" s="21"/>
      <c r="AA606" s="5"/>
    </row>
    <row r="607" spans="3:27" x14ac:dyDescent="0.25">
      <c r="C607" s="10"/>
      <c r="F607" s="17"/>
      <c r="M607" s="17"/>
      <c r="S607" s="17"/>
      <c r="U607" s="4"/>
      <c r="X607" s="17"/>
      <c r="Z607" s="21"/>
      <c r="AA607" s="5"/>
    </row>
    <row r="608" spans="3:27" x14ac:dyDescent="0.25">
      <c r="C608" s="10"/>
      <c r="F608" s="17"/>
      <c r="M608" s="17"/>
      <c r="S608" s="17"/>
      <c r="U608" s="4"/>
      <c r="X608" s="17"/>
      <c r="Z608" s="21"/>
      <c r="AA608" s="5"/>
    </row>
    <row r="609" spans="3:27" x14ac:dyDescent="0.25">
      <c r="C609" s="10"/>
      <c r="F609" s="17"/>
      <c r="M609" s="17"/>
      <c r="S609" s="17"/>
      <c r="U609" s="4"/>
      <c r="X609" s="17"/>
      <c r="Z609" s="21"/>
      <c r="AA609" s="5"/>
    </row>
    <row r="610" spans="3:27" x14ac:dyDescent="0.25">
      <c r="C610" s="10"/>
      <c r="F610" s="17"/>
      <c r="M610" s="17"/>
      <c r="S610" s="17"/>
      <c r="U610" s="4"/>
      <c r="X610" s="17"/>
      <c r="Z610" s="21"/>
      <c r="AA610" s="5"/>
    </row>
    <row r="611" spans="3:27" x14ac:dyDescent="0.25">
      <c r="C611" s="10"/>
      <c r="F611" s="17"/>
      <c r="M611" s="17"/>
      <c r="S611" s="17"/>
      <c r="U611" s="4"/>
      <c r="X611" s="17"/>
      <c r="Z611" s="21"/>
      <c r="AA611" s="5"/>
    </row>
    <row r="612" spans="3:27" x14ac:dyDescent="0.25">
      <c r="C612" s="10"/>
      <c r="F612" s="17"/>
      <c r="M612" s="17"/>
      <c r="S612" s="17"/>
      <c r="U612" s="4"/>
      <c r="X612" s="17"/>
      <c r="Z612" s="21"/>
      <c r="AA612" s="5"/>
    </row>
    <row r="613" spans="3:27" x14ac:dyDescent="0.25">
      <c r="C613" s="10"/>
      <c r="F613" s="17"/>
      <c r="M613" s="17"/>
      <c r="S613" s="17"/>
      <c r="U613" s="4"/>
      <c r="X613" s="17"/>
      <c r="Z613" s="21"/>
      <c r="AA613" s="5"/>
    </row>
    <row r="614" spans="3:27" x14ac:dyDescent="0.25">
      <c r="C614" s="10"/>
      <c r="F614" s="17"/>
      <c r="M614" s="17"/>
      <c r="S614" s="17"/>
      <c r="U614" s="4"/>
      <c r="X614" s="17"/>
      <c r="Z614" s="21"/>
      <c r="AA614" s="5"/>
    </row>
    <row r="615" spans="3:27" x14ac:dyDescent="0.25">
      <c r="C615" s="10"/>
      <c r="F615" s="17"/>
      <c r="M615" s="17"/>
      <c r="S615" s="17"/>
      <c r="U615" s="4"/>
      <c r="X615" s="17"/>
      <c r="Z615" s="21"/>
      <c r="AA615" s="5"/>
    </row>
    <row r="616" spans="3:27" x14ac:dyDescent="0.25">
      <c r="C616" s="10"/>
      <c r="F616" s="17"/>
      <c r="M616" s="17"/>
      <c r="S616" s="17"/>
      <c r="U616" s="4"/>
      <c r="X616" s="17"/>
      <c r="Z616" s="21"/>
      <c r="AA616" s="5"/>
    </row>
    <row r="617" spans="3:27" x14ac:dyDescent="0.25">
      <c r="C617" s="10"/>
      <c r="F617" s="17"/>
      <c r="M617" s="17"/>
      <c r="S617" s="17"/>
      <c r="U617" s="4"/>
      <c r="X617" s="17"/>
      <c r="Z617" s="21"/>
      <c r="AA617" s="5"/>
    </row>
    <row r="618" spans="3:27" x14ac:dyDescent="0.25">
      <c r="C618" s="10"/>
      <c r="F618" s="17"/>
      <c r="M618" s="17"/>
      <c r="S618" s="17"/>
      <c r="U618" s="4"/>
      <c r="X618" s="17"/>
      <c r="Z618" s="21"/>
      <c r="AA618" s="5"/>
    </row>
    <row r="619" spans="3:27" x14ac:dyDescent="0.25">
      <c r="C619" s="10"/>
      <c r="F619" s="17"/>
      <c r="M619" s="17"/>
      <c r="S619" s="17"/>
      <c r="U619" s="4"/>
      <c r="X619" s="17"/>
      <c r="Z619" s="21"/>
      <c r="AA619" s="5"/>
    </row>
    <row r="620" spans="3:27" x14ac:dyDescent="0.25">
      <c r="C620" s="10"/>
      <c r="F620" s="17"/>
      <c r="M620" s="17"/>
      <c r="S620" s="17"/>
      <c r="U620" s="4"/>
      <c r="X620" s="17"/>
      <c r="Z620" s="21"/>
      <c r="AA620" s="5"/>
    </row>
    <row r="621" spans="3:27" x14ac:dyDescent="0.25">
      <c r="C621" s="10"/>
      <c r="F621" s="17"/>
      <c r="M621" s="17"/>
      <c r="S621" s="17"/>
      <c r="U621" s="4"/>
      <c r="X621" s="17"/>
      <c r="Z621" s="21"/>
      <c r="AA621" s="5"/>
    </row>
    <row r="622" spans="3:27" x14ac:dyDescent="0.25">
      <c r="C622" s="10"/>
      <c r="F622" s="17"/>
      <c r="M622" s="17"/>
      <c r="S622" s="17"/>
      <c r="U622" s="4"/>
      <c r="X622" s="17"/>
      <c r="Z622" s="21"/>
      <c r="AA622" s="5"/>
    </row>
    <row r="623" spans="3:27" x14ac:dyDescent="0.25">
      <c r="C623" s="10"/>
      <c r="F623" s="17"/>
      <c r="M623" s="17"/>
      <c r="S623" s="17"/>
      <c r="U623" s="4"/>
      <c r="X623" s="17"/>
      <c r="Z623" s="21"/>
      <c r="AA623" s="5"/>
    </row>
    <row r="624" spans="3:27" x14ac:dyDescent="0.25">
      <c r="C624" s="10"/>
      <c r="F624" s="17"/>
      <c r="M624" s="17"/>
      <c r="S624" s="17"/>
      <c r="U624" s="4"/>
      <c r="X624" s="17"/>
      <c r="Z624" s="21"/>
      <c r="AA624" s="5"/>
    </row>
    <row r="625" spans="3:27" x14ac:dyDescent="0.25">
      <c r="C625" s="10"/>
      <c r="F625" s="17"/>
      <c r="M625" s="17"/>
      <c r="S625" s="17"/>
      <c r="U625" s="4"/>
      <c r="X625" s="17"/>
      <c r="Z625" s="21"/>
      <c r="AA625" s="5"/>
    </row>
    <row r="626" spans="3:27" x14ac:dyDescent="0.25">
      <c r="C626" s="10"/>
      <c r="F626" s="17"/>
      <c r="M626" s="17"/>
      <c r="S626" s="17"/>
      <c r="U626" s="4"/>
      <c r="X626" s="17"/>
      <c r="Z626" s="21"/>
      <c r="AA626" s="5"/>
    </row>
    <row r="627" spans="3:27" x14ac:dyDescent="0.25">
      <c r="C627" s="10"/>
      <c r="F627" s="17"/>
      <c r="M627" s="17"/>
      <c r="S627" s="17"/>
      <c r="U627" s="4"/>
      <c r="X627" s="17"/>
      <c r="Z627" s="21"/>
      <c r="AA627" s="5"/>
    </row>
    <row r="628" spans="3:27" x14ac:dyDescent="0.25">
      <c r="C628" s="10"/>
      <c r="F628" s="17"/>
      <c r="M628" s="17"/>
      <c r="S628" s="17"/>
      <c r="U628" s="4"/>
      <c r="X628" s="17"/>
      <c r="Z628" s="21"/>
      <c r="AA628" s="5"/>
    </row>
    <row r="629" spans="3:27" x14ac:dyDescent="0.25">
      <c r="C629" s="10"/>
      <c r="F629" s="17"/>
      <c r="M629" s="17"/>
      <c r="S629" s="17"/>
      <c r="U629" s="4"/>
      <c r="X629" s="17"/>
      <c r="Z629" s="21"/>
      <c r="AA629" s="5"/>
    </row>
    <row r="630" spans="3:27" x14ac:dyDescent="0.25">
      <c r="C630" s="10"/>
      <c r="F630" s="17"/>
      <c r="M630" s="17"/>
      <c r="S630" s="17"/>
      <c r="U630" s="4"/>
      <c r="X630" s="17"/>
      <c r="Z630" s="21"/>
      <c r="AA630" s="5"/>
    </row>
    <row r="631" spans="3:27" x14ac:dyDescent="0.25">
      <c r="C631" s="10"/>
      <c r="F631" s="17"/>
      <c r="M631" s="17"/>
      <c r="S631" s="17"/>
      <c r="U631" s="4"/>
      <c r="X631" s="17"/>
      <c r="Z631" s="21"/>
      <c r="AA631" s="5"/>
    </row>
    <row r="632" spans="3:27" x14ac:dyDescent="0.25">
      <c r="C632" s="10"/>
      <c r="F632" s="17"/>
      <c r="M632" s="17"/>
      <c r="S632" s="17"/>
      <c r="U632" s="4"/>
      <c r="X632" s="17"/>
      <c r="Z632" s="21"/>
      <c r="AA632" s="5"/>
    </row>
    <row r="633" spans="3:27" x14ac:dyDescent="0.25">
      <c r="C633" s="10"/>
      <c r="F633" s="17"/>
      <c r="M633" s="17"/>
      <c r="S633" s="17"/>
      <c r="U633" s="4"/>
      <c r="X633" s="17"/>
      <c r="Z633" s="21"/>
      <c r="AA633" s="5"/>
    </row>
    <row r="634" spans="3:27" x14ac:dyDescent="0.25">
      <c r="C634" s="10"/>
      <c r="F634" s="17"/>
      <c r="M634" s="17"/>
      <c r="S634" s="17"/>
      <c r="U634" s="4"/>
      <c r="X634" s="17"/>
      <c r="Z634" s="21"/>
      <c r="AA634" s="5"/>
    </row>
    <row r="635" spans="3:27" x14ac:dyDescent="0.25">
      <c r="C635" s="10"/>
      <c r="F635" s="17"/>
      <c r="M635" s="17"/>
      <c r="S635" s="17"/>
      <c r="U635" s="4"/>
      <c r="X635" s="17"/>
      <c r="Z635" s="21"/>
      <c r="AA635" s="5"/>
    </row>
    <row r="636" spans="3:27" x14ac:dyDescent="0.25">
      <c r="C636" s="10"/>
      <c r="F636" s="17"/>
      <c r="M636" s="17"/>
      <c r="S636" s="17"/>
      <c r="U636" s="4"/>
      <c r="X636" s="17"/>
      <c r="Z636" s="21"/>
      <c r="AA636" s="5"/>
    </row>
    <row r="637" spans="3:27" x14ac:dyDescent="0.25">
      <c r="C637" s="10"/>
      <c r="F637" s="17"/>
      <c r="M637" s="17"/>
      <c r="S637" s="17"/>
      <c r="U637" s="4"/>
      <c r="X637" s="17"/>
      <c r="Z637" s="21"/>
      <c r="AA637" s="5"/>
    </row>
    <row r="638" spans="3:27" x14ac:dyDescent="0.25">
      <c r="C638" s="10"/>
      <c r="F638" s="17"/>
      <c r="M638" s="17"/>
      <c r="S638" s="17"/>
      <c r="U638" s="4"/>
      <c r="X638" s="17"/>
      <c r="Z638" s="21"/>
      <c r="AA638" s="5"/>
    </row>
    <row r="639" spans="3:27" x14ac:dyDescent="0.25">
      <c r="C639" s="10"/>
      <c r="F639" s="17"/>
      <c r="M639" s="17"/>
      <c r="S639" s="17"/>
      <c r="U639" s="4"/>
      <c r="X639" s="17"/>
      <c r="Z639" s="21"/>
      <c r="AA639" s="5"/>
    </row>
    <row r="640" spans="3:27" x14ac:dyDescent="0.25">
      <c r="C640" s="10"/>
      <c r="F640" s="17"/>
      <c r="M640" s="17"/>
      <c r="S640" s="17"/>
      <c r="U640" s="4"/>
      <c r="X640" s="17"/>
      <c r="Z640" s="21"/>
      <c r="AA640" s="5"/>
    </row>
    <row r="641" spans="3:27" x14ac:dyDescent="0.25">
      <c r="C641" s="10"/>
      <c r="F641" s="17"/>
      <c r="M641" s="17"/>
      <c r="S641" s="17"/>
      <c r="U641" s="4"/>
      <c r="X641" s="17"/>
      <c r="Z641" s="21"/>
      <c r="AA641" s="5"/>
    </row>
    <row r="642" spans="3:27" x14ac:dyDescent="0.25">
      <c r="C642" s="10"/>
      <c r="F642" s="17"/>
      <c r="M642" s="17"/>
      <c r="S642" s="17"/>
      <c r="U642" s="4"/>
      <c r="X642" s="17"/>
      <c r="Z642" s="21"/>
      <c r="AA642" s="5"/>
    </row>
    <row r="643" spans="3:27" x14ac:dyDescent="0.25">
      <c r="C643" s="10"/>
      <c r="F643" s="17"/>
      <c r="M643" s="17"/>
      <c r="S643" s="17"/>
      <c r="U643" s="4"/>
      <c r="X643" s="17"/>
      <c r="Z643" s="21"/>
      <c r="AA643" s="5"/>
    </row>
    <row r="644" spans="3:27" x14ac:dyDescent="0.25">
      <c r="C644" s="10"/>
      <c r="F644" s="17"/>
      <c r="M644" s="17"/>
      <c r="S644" s="17"/>
      <c r="U644" s="4"/>
      <c r="X644" s="17"/>
      <c r="Z644" s="21"/>
      <c r="AA644" s="5"/>
    </row>
    <row r="645" spans="3:27" x14ac:dyDescent="0.25">
      <c r="C645" s="10"/>
      <c r="F645" s="17"/>
      <c r="M645" s="17"/>
      <c r="S645" s="17"/>
      <c r="U645" s="4"/>
      <c r="X645" s="17"/>
      <c r="Z645" s="21"/>
      <c r="AA645" s="5"/>
    </row>
    <row r="646" spans="3:27" x14ac:dyDescent="0.25">
      <c r="C646" s="10"/>
      <c r="F646" s="17"/>
      <c r="M646" s="17"/>
      <c r="S646" s="17"/>
      <c r="U646" s="4"/>
      <c r="X646" s="17"/>
      <c r="Z646" s="21"/>
      <c r="AA646" s="5"/>
    </row>
    <row r="647" spans="3:27" x14ac:dyDescent="0.25">
      <c r="C647" s="10"/>
      <c r="F647" s="17"/>
      <c r="M647" s="17"/>
      <c r="S647" s="17"/>
      <c r="U647" s="4"/>
      <c r="X647" s="17"/>
      <c r="Z647" s="21"/>
      <c r="AA647" s="5"/>
    </row>
    <row r="648" spans="3:27" x14ac:dyDescent="0.25">
      <c r="C648" s="10"/>
      <c r="F648" s="17"/>
      <c r="M648" s="17"/>
      <c r="S648" s="17"/>
      <c r="U648" s="4"/>
      <c r="X648" s="17"/>
      <c r="Z648" s="21"/>
      <c r="AA648" s="5"/>
    </row>
    <row r="649" spans="3:27" x14ac:dyDescent="0.25">
      <c r="C649" s="10"/>
      <c r="F649" s="17"/>
      <c r="M649" s="17"/>
      <c r="S649" s="17"/>
      <c r="U649" s="4"/>
      <c r="X649" s="17"/>
      <c r="Z649" s="21"/>
      <c r="AA649" s="5"/>
    </row>
    <row r="650" spans="3:27" x14ac:dyDescent="0.25">
      <c r="C650" s="10"/>
      <c r="F650" s="17"/>
      <c r="M650" s="17"/>
      <c r="S650" s="17"/>
      <c r="U650" s="4"/>
      <c r="X650" s="17"/>
      <c r="Z650" s="21"/>
      <c r="AA650" s="5"/>
    </row>
    <row r="651" spans="3:27" x14ac:dyDescent="0.25">
      <c r="C651" s="10"/>
      <c r="F651" s="17"/>
      <c r="M651" s="17"/>
      <c r="S651" s="17"/>
      <c r="U651" s="4"/>
      <c r="X651" s="17"/>
      <c r="Z651" s="21"/>
      <c r="AA651" s="5"/>
    </row>
    <row r="652" spans="3:27" x14ac:dyDescent="0.25">
      <c r="C652" s="10"/>
      <c r="F652" s="17"/>
      <c r="M652" s="17"/>
      <c r="S652" s="17"/>
      <c r="U652" s="4"/>
      <c r="X652" s="17"/>
      <c r="Z652" s="21"/>
      <c r="AA652" s="5"/>
    </row>
    <row r="653" spans="3:27" x14ac:dyDescent="0.25">
      <c r="C653" s="10"/>
      <c r="F653" s="17"/>
      <c r="M653" s="17"/>
      <c r="S653" s="17"/>
      <c r="U653" s="4"/>
      <c r="X653" s="17"/>
      <c r="Z653" s="21"/>
      <c r="AA653" s="5"/>
    </row>
    <row r="654" spans="3:27" x14ac:dyDescent="0.25">
      <c r="C654" s="10"/>
      <c r="F654" s="17"/>
      <c r="M654" s="17"/>
      <c r="S654" s="17"/>
      <c r="U654" s="4"/>
      <c r="X654" s="17"/>
      <c r="Z654" s="21"/>
      <c r="AA654" s="5"/>
    </row>
    <row r="655" spans="3:27" x14ac:dyDescent="0.25">
      <c r="C655" s="10"/>
      <c r="F655" s="17"/>
      <c r="M655" s="17"/>
      <c r="S655" s="17"/>
      <c r="U655" s="4"/>
      <c r="X655" s="17"/>
      <c r="Z655" s="21"/>
      <c r="AA655" s="5"/>
    </row>
    <row r="656" spans="3:27" x14ac:dyDescent="0.25">
      <c r="C656" s="10"/>
      <c r="F656" s="17"/>
      <c r="M656" s="17"/>
      <c r="S656" s="17"/>
      <c r="U656" s="4"/>
      <c r="X656" s="17"/>
      <c r="Z656" s="21"/>
      <c r="AA656" s="5"/>
    </row>
    <row r="657" spans="3:27" x14ac:dyDescent="0.25">
      <c r="C657" s="10"/>
      <c r="F657" s="17"/>
      <c r="M657" s="17"/>
      <c r="S657" s="17"/>
      <c r="U657" s="4"/>
      <c r="X657" s="17"/>
      <c r="Z657" s="21"/>
      <c r="AA657" s="5"/>
    </row>
    <row r="658" spans="3:27" x14ac:dyDescent="0.25">
      <c r="C658" s="10"/>
      <c r="F658" s="17"/>
      <c r="M658" s="17"/>
      <c r="S658" s="17"/>
      <c r="U658" s="4"/>
      <c r="X658" s="17"/>
      <c r="Z658" s="21"/>
      <c r="AA658" s="5"/>
    </row>
    <row r="659" spans="3:27" x14ac:dyDescent="0.25">
      <c r="C659" s="10"/>
      <c r="F659" s="17"/>
      <c r="M659" s="17"/>
      <c r="S659" s="17"/>
      <c r="U659" s="4"/>
      <c r="X659" s="17"/>
      <c r="Z659" s="21"/>
      <c r="AA659" s="5"/>
    </row>
    <row r="660" spans="3:27" x14ac:dyDescent="0.25">
      <c r="C660" s="10"/>
      <c r="F660" s="17"/>
      <c r="M660" s="17"/>
      <c r="S660" s="17"/>
      <c r="U660" s="4"/>
      <c r="X660" s="17"/>
      <c r="Z660" s="21"/>
      <c r="AA660" s="5"/>
    </row>
    <row r="661" spans="3:27" x14ac:dyDescent="0.25">
      <c r="C661" s="10"/>
      <c r="F661" s="17"/>
      <c r="M661" s="17"/>
      <c r="S661" s="17"/>
      <c r="U661" s="4"/>
      <c r="X661" s="17"/>
      <c r="Z661" s="21"/>
      <c r="AA661" s="5"/>
    </row>
    <row r="662" spans="3:27" x14ac:dyDescent="0.25">
      <c r="C662" s="10"/>
      <c r="F662" s="17"/>
      <c r="M662" s="17"/>
      <c r="S662" s="17"/>
      <c r="U662" s="4"/>
      <c r="X662" s="17"/>
      <c r="Z662" s="21"/>
      <c r="AA662" s="5"/>
    </row>
    <row r="663" spans="3:27" x14ac:dyDescent="0.25">
      <c r="C663" s="10"/>
      <c r="F663" s="17"/>
      <c r="M663" s="17"/>
      <c r="S663" s="17"/>
      <c r="U663" s="4"/>
      <c r="X663" s="17"/>
      <c r="Z663" s="21"/>
      <c r="AA663" s="5"/>
    </row>
    <row r="664" spans="3:27" x14ac:dyDescent="0.25">
      <c r="C664" s="10"/>
      <c r="F664" s="17"/>
      <c r="M664" s="17"/>
      <c r="S664" s="17"/>
      <c r="U664" s="4"/>
      <c r="X664" s="17"/>
      <c r="Z664" s="21"/>
      <c r="AA664" s="5"/>
    </row>
    <row r="665" spans="3:27" x14ac:dyDescent="0.25">
      <c r="C665" s="10"/>
      <c r="F665" s="17"/>
      <c r="M665" s="17"/>
      <c r="S665" s="17"/>
      <c r="U665" s="4"/>
      <c r="X665" s="17"/>
      <c r="Z665" s="21"/>
      <c r="AA665" s="5"/>
    </row>
    <row r="666" spans="3:27" x14ac:dyDescent="0.25">
      <c r="C666" s="10"/>
      <c r="F666" s="17"/>
      <c r="M666" s="17"/>
      <c r="S666" s="17"/>
      <c r="U666" s="4"/>
      <c r="X666" s="17"/>
      <c r="Z666" s="21"/>
      <c r="AA666" s="5"/>
    </row>
    <row r="667" spans="3:27" x14ac:dyDescent="0.25">
      <c r="C667" s="10"/>
      <c r="F667" s="17"/>
      <c r="M667" s="17"/>
      <c r="S667" s="17"/>
      <c r="U667" s="4"/>
      <c r="X667" s="17"/>
      <c r="Z667" s="21"/>
      <c r="AA667" s="5"/>
    </row>
    <row r="668" spans="3:27" x14ac:dyDescent="0.25">
      <c r="C668" s="10"/>
      <c r="F668" s="17"/>
      <c r="M668" s="17"/>
      <c r="S668" s="17"/>
      <c r="U668" s="4"/>
      <c r="X668" s="17"/>
      <c r="Z668" s="21"/>
      <c r="AA668" s="5"/>
    </row>
    <row r="669" spans="3:27" x14ac:dyDescent="0.25">
      <c r="C669" s="10"/>
      <c r="F669" s="17"/>
      <c r="M669" s="17"/>
      <c r="S669" s="17"/>
      <c r="U669" s="4"/>
      <c r="X669" s="17"/>
      <c r="Z669" s="21"/>
      <c r="AA669" s="5"/>
    </row>
    <row r="670" spans="3:27" x14ac:dyDescent="0.25">
      <c r="C670" s="10"/>
      <c r="F670" s="17"/>
      <c r="M670" s="17"/>
      <c r="S670" s="17"/>
      <c r="U670" s="4"/>
      <c r="X670" s="17"/>
      <c r="Z670" s="21"/>
      <c r="AA670" s="5"/>
    </row>
    <row r="671" spans="3:27" x14ac:dyDescent="0.25">
      <c r="C671" s="10"/>
      <c r="F671" s="17"/>
      <c r="M671" s="17"/>
      <c r="S671" s="17"/>
      <c r="U671" s="4"/>
      <c r="X671" s="17"/>
      <c r="Z671" s="21"/>
      <c r="AA671" s="5"/>
    </row>
    <row r="672" spans="3:27" x14ac:dyDescent="0.25">
      <c r="C672" s="10"/>
      <c r="F672" s="17"/>
      <c r="M672" s="17"/>
      <c r="S672" s="17"/>
      <c r="U672" s="4"/>
      <c r="X672" s="17"/>
      <c r="Z672" s="21"/>
      <c r="AA672" s="5"/>
    </row>
    <row r="673" spans="3:27" x14ac:dyDescent="0.25">
      <c r="C673" s="10"/>
      <c r="F673" s="17"/>
      <c r="M673" s="17"/>
      <c r="S673" s="17"/>
      <c r="U673" s="4"/>
      <c r="X673" s="17"/>
      <c r="Z673" s="21"/>
      <c r="AA673" s="5"/>
    </row>
    <row r="674" spans="3:27" x14ac:dyDescent="0.25">
      <c r="C674" s="10"/>
      <c r="F674" s="17"/>
      <c r="M674" s="17"/>
      <c r="S674" s="17"/>
      <c r="U674" s="4"/>
      <c r="X674" s="17"/>
      <c r="Z674" s="21"/>
      <c r="AA674" s="5"/>
    </row>
    <row r="675" spans="3:27" x14ac:dyDescent="0.25">
      <c r="C675" s="10"/>
      <c r="F675" s="17"/>
      <c r="M675" s="17"/>
      <c r="S675" s="17"/>
      <c r="U675" s="4"/>
      <c r="X675" s="17"/>
      <c r="Z675" s="21"/>
      <c r="AA675" s="5"/>
    </row>
    <row r="676" spans="3:27" x14ac:dyDescent="0.25">
      <c r="C676" s="10"/>
      <c r="F676" s="17"/>
      <c r="M676" s="17"/>
      <c r="S676" s="17"/>
      <c r="U676" s="4"/>
      <c r="X676" s="17"/>
      <c r="Z676" s="21"/>
      <c r="AA676" s="5"/>
    </row>
    <row r="677" spans="3:27" x14ac:dyDescent="0.25">
      <c r="C677" s="10"/>
      <c r="F677" s="17"/>
      <c r="M677" s="17"/>
      <c r="S677" s="17"/>
      <c r="U677" s="4"/>
      <c r="X677" s="17"/>
      <c r="Z677" s="21"/>
      <c r="AA677" s="5"/>
    </row>
    <row r="678" spans="3:27" x14ac:dyDescent="0.25">
      <c r="C678" s="10"/>
      <c r="F678" s="17"/>
      <c r="M678" s="17"/>
      <c r="S678" s="17"/>
      <c r="U678" s="4"/>
      <c r="X678" s="17"/>
      <c r="Z678" s="21"/>
      <c r="AA678" s="5"/>
    </row>
    <row r="679" spans="3:27" x14ac:dyDescent="0.25">
      <c r="C679" s="10"/>
      <c r="F679" s="17"/>
      <c r="M679" s="17"/>
      <c r="S679" s="17"/>
      <c r="U679" s="4"/>
      <c r="X679" s="17"/>
      <c r="Z679" s="21"/>
      <c r="AA679" s="5"/>
    </row>
    <row r="680" spans="3:27" x14ac:dyDescent="0.25">
      <c r="C680" s="10"/>
      <c r="F680" s="17"/>
      <c r="M680" s="17"/>
      <c r="S680" s="17"/>
      <c r="U680" s="4"/>
      <c r="X680" s="17"/>
      <c r="Z680" s="21"/>
      <c r="AA680" s="5"/>
    </row>
    <row r="681" spans="3:27" x14ac:dyDescent="0.25">
      <c r="C681" s="10"/>
      <c r="F681" s="17"/>
      <c r="M681" s="17"/>
      <c r="S681" s="17"/>
      <c r="U681" s="4"/>
      <c r="X681" s="17"/>
      <c r="Z681" s="21"/>
      <c r="AA681" s="5"/>
    </row>
    <row r="682" spans="3:27" x14ac:dyDescent="0.25">
      <c r="C682" s="10"/>
      <c r="F682" s="17"/>
      <c r="M682" s="17"/>
      <c r="S682" s="17"/>
      <c r="U682" s="4"/>
      <c r="X682" s="17"/>
      <c r="Z682" s="21"/>
      <c r="AA682" s="5"/>
    </row>
    <row r="683" spans="3:27" x14ac:dyDescent="0.25">
      <c r="C683" s="10"/>
      <c r="F683" s="17"/>
      <c r="M683" s="17"/>
      <c r="S683" s="17"/>
      <c r="U683" s="4"/>
      <c r="X683" s="17"/>
      <c r="Z683" s="21"/>
      <c r="AA683" s="5"/>
    </row>
    <row r="684" spans="3:27" x14ac:dyDescent="0.25">
      <c r="C684" s="10"/>
      <c r="F684" s="17"/>
      <c r="M684" s="17"/>
      <c r="S684" s="17"/>
      <c r="U684" s="4"/>
      <c r="X684" s="17"/>
      <c r="Z684" s="21"/>
      <c r="AA684" s="5"/>
    </row>
    <row r="685" spans="3:27" x14ac:dyDescent="0.25">
      <c r="C685" s="10"/>
      <c r="F685" s="17"/>
      <c r="M685" s="17"/>
      <c r="S685" s="17"/>
      <c r="U685" s="4"/>
      <c r="X685" s="17"/>
      <c r="Z685" s="21"/>
      <c r="AA685" s="5"/>
    </row>
    <row r="686" spans="3:27" x14ac:dyDescent="0.25">
      <c r="C686" s="10"/>
      <c r="F686" s="17"/>
      <c r="M686" s="17"/>
      <c r="S686" s="17"/>
      <c r="U686" s="4"/>
      <c r="X686" s="17"/>
      <c r="Z686" s="21"/>
      <c r="AA686" s="5"/>
    </row>
    <row r="687" spans="3:27" x14ac:dyDescent="0.25">
      <c r="C687" s="10"/>
      <c r="F687" s="17"/>
      <c r="M687" s="17"/>
      <c r="S687" s="17"/>
      <c r="U687" s="4"/>
      <c r="X687" s="17"/>
      <c r="Z687" s="21"/>
      <c r="AA687" s="5"/>
    </row>
    <row r="688" spans="3:27" x14ac:dyDescent="0.25">
      <c r="C688" s="10"/>
      <c r="F688" s="17"/>
      <c r="M688" s="17"/>
      <c r="S688" s="17"/>
      <c r="U688" s="4"/>
      <c r="X688" s="17"/>
      <c r="Z688" s="21"/>
      <c r="AA688" s="5"/>
    </row>
    <row r="689" spans="3:27" x14ac:dyDescent="0.25">
      <c r="C689" s="10"/>
      <c r="F689" s="17"/>
      <c r="M689" s="17"/>
      <c r="S689" s="17"/>
      <c r="U689" s="4"/>
      <c r="X689" s="17"/>
      <c r="Z689" s="21"/>
      <c r="AA689" s="5"/>
    </row>
    <row r="690" spans="3:27" x14ac:dyDescent="0.25">
      <c r="C690" s="10"/>
      <c r="F690" s="17"/>
      <c r="M690" s="17"/>
      <c r="S690" s="17"/>
      <c r="U690" s="4"/>
      <c r="X690" s="17"/>
      <c r="Z690" s="21"/>
      <c r="AA690" s="5"/>
    </row>
    <row r="691" spans="3:27" x14ac:dyDescent="0.25">
      <c r="C691" s="10"/>
      <c r="F691" s="17"/>
      <c r="M691" s="17"/>
      <c r="S691" s="17"/>
      <c r="U691" s="4"/>
      <c r="X691" s="17"/>
      <c r="Z691" s="21"/>
      <c r="AA691" s="5"/>
    </row>
    <row r="692" spans="3:27" x14ac:dyDescent="0.25">
      <c r="C692" s="10"/>
      <c r="F692" s="17"/>
      <c r="M692" s="17"/>
      <c r="S692" s="17"/>
      <c r="U692" s="4"/>
      <c r="X692" s="17"/>
      <c r="Z692" s="21"/>
      <c r="AA692" s="5"/>
    </row>
    <row r="693" spans="3:27" x14ac:dyDescent="0.25">
      <c r="C693" s="10"/>
      <c r="F693" s="17"/>
      <c r="M693" s="17"/>
      <c r="S693" s="17"/>
      <c r="U693" s="4"/>
      <c r="X693" s="17"/>
      <c r="Z693" s="21"/>
      <c r="AA693" s="5"/>
    </row>
    <row r="694" spans="3:27" x14ac:dyDescent="0.25">
      <c r="C694" s="10"/>
      <c r="F694" s="17"/>
      <c r="M694" s="17"/>
      <c r="S694" s="17"/>
      <c r="U694" s="4"/>
      <c r="X694" s="17"/>
      <c r="Z694" s="21"/>
      <c r="AA694" s="5"/>
    </row>
    <row r="695" spans="3:27" x14ac:dyDescent="0.25">
      <c r="C695" s="10"/>
      <c r="F695" s="17"/>
      <c r="M695" s="17"/>
      <c r="S695" s="17"/>
      <c r="U695" s="4"/>
      <c r="X695" s="17"/>
      <c r="Z695" s="21"/>
      <c r="AA695" s="5"/>
    </row>
    <row r="696" spans="3:27" x14ac:dyDescent="0.25">
      <c r="C696" s="10"/>
      <c r="F696" s="17"/>
      <c r="M696" s="17"/>
      <c r="S696" s="17"/>
      <c r="U696" s="4"/>
      <c r="X696" s="17"/>
      <c r="Z696" s="21"/>
      <c r="AA696" s="5"/>
    </row>
    <row r="697" spans="3:27" x14ac:dyDescent="0.25">
      <c r="C697" s="10"/>
      <c r="F697" s="17"/>
      <c r="M697" s="17"/>
      <c r="S697" s="17"/>
      <c r="U697" s="4"/>
      <c r="X697" s="17"/>
      <c r="Z697" s="21"/>
      <c r="AA697" s="5"/>
    </row>
    <row r="698" spans="3:27" x14ac:dyDescent="0.25">
      <c r="C698" s="10"/>
      <c r="F698" s="17"/>
      <c r="M698" s="17"/>
      <c r="S698" s="17"/>
      <c r="U698" s="4"/>
      <c r="X698" s="17"/>
      <c r="Z698" s="21"/>
      <c r="AA698" s="5"/>
    </row>
    <row r="699" spans="3:27" x14ac:dyDescent="0.25">
      <c r="C699" s="10"/>
      <c r="F699" s="17"/>
      <c r="M699" s="17"/>
      <c r="S699" s="17"/>
      <c r="U699" s="4"/>
      <c r="X699" s="17"/>
      <c r="Z699" s="21"/>
      <c r="AA699" s="5"/>
    </row>
    <row r="700" spans="3:27" x14ac:dyDescent="0.25">
      <c r="C700" s="10"/>
      <c r="F700" s="17"/>
      <c r="M700" s="17"/>
      <c r="S700" s="17"/>
      <c r="U700" s="4"/>
      <c r="X700" s="17"/>
      <c r="Z700" s="21"/>
      <c r="AA700" s="5"/>
    </row>
    <row r="701" spans="3:27" x14ac:dyDescent="0.25">
      <c r="C701" s="10"/>
      <c r="F701" s="17"/>
      <c r="M701" s="17"/>
      <c r="S701" s="17"/>
      <c r="U701" s="4"/>
      <c r="X701" s="17"/>
      <c r="Z701" s="21"/>
      <c r="AA701" s="5"/>
    </row>
    <row r="702" spans="3:27" x14ac:dyDescent="0.25">
      <c r="C702" s="10"/>
      <c r="F702" s="17"/>
      <c r="M702" s="17"/>
      <c r="S702" s="17"/>
      <c r="U702" s="4"/>
      <c r="X702" s="17"/>
      <c r="Z702" s="21"/>
      <c r="AA702" s="5"/>
    </row>
    <row r="703" spans="3:27" x14ac:dyDescent="0.25">
      <c r="C703" s="10"/>
      <c r="F703" s="17"/>
      <c r="M703" s="17"/>
      <c r="S703" s="17"/>
      <c r="U703" s="4"/>
      <c r="X703" s="17"/>
      <c r="Z703" s="21"/>
      <c r="AA703" s="5"/>
    </row>
    <row r="704" spans="3:27" x14ac:dyDescent="0.25">
      <c r="C704" s="10"/>
      <c r="F704" s="17"/>
      <c r="M704" s="17"/>
      <c r="S704" s="17"/>
      <c r="U704" s="4"/>
      <c r="X704" s="17"/>
      <c r="Z704" s="21"/>
      <c r="AA704" s="5"/>
    </row>
    <row r="705" spans="3:27" x14ac:dyDescent="0.25">
      <c r="C705" s="10"/>
      <c r="F705" s="17"/>
      <c r="M705" s="17"/>
      <c r="S705" s="17"/>
      <c r="U705" s="4"/>
      <c r="X705" s="17"/>
      <c r="Z705" s="21"/>
      <c r="AA705" s="5"/>
    </row>
    <row r="706" spans="3:27" x14ac:dyDescent="0.25">
      <c r="C706" s="10"/>
      <c r="F706" s="17"/>
      <c r="M706" s="17"/>
      <c r="S706" s="17"/>
      <c r="U706" s="4"/>
      <c r="X706" s="17"/>
      <c r="Z706" s="21"/>
      <c r="AA706" s="5"/>
    </row>
    <row r="707" spans="3:27" x14ac:dyDescent="0.25">
      <c r="C707" s="10"/>
      <c r="F707" s="17"/>
      <c r="M707" s="17"/>
      <c r="S707" s="17"/>
      <c r="U707" s="4"/>
      <c r="X707" s="17"/>
      <c r="Z707" s="21"/>
      <c r="AA707" s="5"/>
    </row>
    <row r="708" spans="3:27" x14ac:dyDescent="0.25">
      <c r="C708" s="10"/>
      <c r="F708" s="17"/>
      <c r="M708" s="17"/>
      <c r="S708" s="17"/>
      <c r="U708" s="4"/>
      <c r="X708" s="17"/>
      <c r="Z708" s="21"/>
      <c r="AA708" s="5"/>
    </row>
    <row r="709" spans="3:27" x14ac:dyDescent="0.25">
      <c r="C709" s="10"/>
      <c r="F709" s="17"/>
      <c r="M709" s="17"/>
      <c r="S709" s="17"/>
      <c r="U709" s="4"/>
      <c r="X709" s="17"/>
      <c r="Z709" s="21"/>
      <c r="AA709" s="5"/>
    </row>
    <row r="710" spans="3:27" x14ac:dyDescent="0.25">
      <c r="C710" s="10"/>
      <c r="F710" s="17"/>
      <c r="M710" s="17"/>
      <c r="S710" s="17"/>
      <c r="U710" s="4"/>
      <c r="X710" s="17"/>
      <c r="Z710" s="21"/>
      <c r="AA710" s="5"/>
    </row>
    <row r="711" spans="3:27" x14ac:dyDescent="0.25">
      <c r="C711" s="10"/>
      <c r="F711" s="17"/>
      <c r="M711" s="17"/>
      <c r="S711" s="17"/>
      <c r="U711" s="4"/>
      <c r="X711" s="17"/>
      <c r="Z711" s="21"/>
      <c r="AA711" s="5"/>
    </row>
    <row r="712" spans="3:27" x14ac:dyDescent="0.25">
      <c r="C712" s="10"/>
      <c r="F712" s="17"/>
      <c r="M712" s="17"/>
      <c r="S712" s="17"/>
      <c r="U712" s="4"/>
      <c r="X712" s="17"/>
      <c r="Z712" s="21"/>
      <c r="AA712" s="5"/>
    </row>
    <row r="713" spans="3:27" x14ac:dyDescent="0.25">
      <c r="C713" s="10"/>
      <c r="F713" s="17"/>
      <c r="M713" s="17"/>
      <c r="S713" s="17"/>
      <c r="U713" s="4"/>
      <c r="X713" s="17"/>
      <c r="Z713" s="21"/>
      <c r="AA713" s="5"/>
    </row>
    <row r="714" spans="3:27" x14ac:dyDescent="0.25">
      <c r="C714" s="10"/>
      <c r="F714" s="17"/>
      <c r="M714" s="17"/>
      <c r="S714" s="17"/>
      <c r="U714" s="4"/>
      <c r="X714" s="17"/>
      <c r="Z714" s="21"/>
      <c r="AA714" s="5"/>
    </row>
    <row r="715" spans="3:27" x14ac:dyDescent="0.25">
      <c r="C715" s="10"/>
      <c r="F715" s="17"/>
      <c r="M715" s="17"/>
      <c r="S715" s="17"/>
      <c r="U715" s="4"/>
      <c r="X715" s="17"/>
      <c r="Z715" s="21"/>
      <c r="AA715" s="5"/>
    </row>
    <row r="716" spans="3:27" x14ac:dyDescent="0.25">
      <c r="C716" s="10"/>
      <c r="F716" s="17"/>
      <c r="M716" s="17"/>
      <c r="S716" s="17"/>
      <c r="U716" s="4"/>
      <c r="X716" s="17"/>
      <c r="Z716" s="21"/>
      <c r="AA716" s="5"/>
    </row>
    <row r="717" spans="3:27" x14ac:dyDescent="0.25">
      <c r="C717" s="10"/>
      <c r="F717" s="17"/>
      <c r="M717" s="17"/>
      <c r="S717" s="17"/>
      <c r="U717" s="4"/>
      <c r="X717" s="17"/>
      <c r="Z717" s="21"/>
      <c r="AA717" s="5"/>
    </row>
    <row r="718" spans="3:27" x14ac:dyDescent="0.25">
      <c r="C718" s="10"/>
      <c r="F718" s="17"/>
      <c r="M718" s="17"/>
      <c r="S718" s="17"/>
      <c r="U718" s="4"/>
      <c r="X718" s="17"/>
      <c r="Z718" s="21"/>
      <c r="AA718" s="5"/>
    </row>
    <row r="719" spans="3:27" x14ac:dyDescent="0.25">
      <c r="C719" s="10"/>
      <c r="F719" s="17"/>
      <c r="M719" s="17"/>
      <c r="S719" s="17"/>
      <c r="U719" s="4"/>
      <c r="X719" s="17"/>
      <c r="Z719" s="21"/>
      <c r="AA719" s="5"/>
    </row>
    <row r="720" spans="3:27" x14ac:dyDescent="0.25">
      <c r="C720" s="10"/>
      <c r="F720" s="17"/>
      <c r="M720" s="17"/>
      <c r="S720" s="17"/>
      <c r="U720" s="4"/>
      <c r="X720" s="17"/>
      <c r="Z720" s="21"/>
      <c r="AA720" s="5"/>
    </row>
    <row r="721" spans="3:27" x14ac:dyDescent="0.25">
      <c r="C721" s="10"/>
      <c r="F721" s="17"/>
      <c r="M721" s="17"/>
      <c r="S721" s="17"/>
      <c r="U721" s="4"/>
      <c r="X721" s="17"/>
      <c r="Z721" s="21"/>
      <c r="AA721" s="5"/>
    </row>
    <row r="722" spans="3:27" x14ac:dyDescent="0.25">
      <c r="C722" s="10"/>
      <c r="F722" s="17"/>
      <c r="M722" s="17"/>
      <c r="S722" s="17"/>
      <c r="U722" s="4"/>
      <c r="X722" s="17"/>
      <c r="Z722" s="21"/>
      <c r="AA722" s="5"/>
    </row>
    <row r="723" spans="3:27" x14ac:dyDescent="0.25">
      <c r="C723" s="10"/>
      <c r="F723" s="17"/>
      <c r="M723" s="17"/>
      <c r="S723" s="17"/>
      <c r="U723" s="4"/>
      <c r="X723" s="17"/>
      <c r="Z723" s="21"/>
      <c r="AA723" s="5"/>
    </row>
    <row r="724" spans="3:27" x14ac:dyDescent="0.25">
      <c r="C724" s="10"/>
      <c r="F724" s="17"/>
      <c r="M724" s="17"/>
      <c r="S724" s="17"/>
      <c r="U724" s="4"/>
      <c r="X724" s="17"/>
      <c r="Z724" s="21"/>
      <c r="AA724" s="5"/>
    </row>
    <row r="725" spans="3:27" x14ac:dyDescent="0.25">
      <c r="C725" s="10"/>
      <c r="F725" s="17"/>
      <c r="M725" s="17"/>
      <c r="S725" s="17"/>
      <c r="U725" s="4"/>
      <c r="X725" s="17"/>
      <c r="Z725" s="21"/>
      <c r="AA725" s="5"/>
    </row>
    <row r="726" spans="3:27" x14ac:dyDescent="0.25">
      <c r="C726" s="10"/>
      <c r="F726" s="17"/>
      <c r="M726" s="17"/>
      <c r="S726" s="17"/>
      <c r="U726" s="4"/>
      <c r="X726" s="17"/>
      <c r="Z726" s="21"/>
      <c r="AA726" s="5"/>
    </row>
    <row r="727" spans="3:27" x14ac:dyDescent="0.25">
      <c r="C727" s="10"/>
      <c r="F727" s="17"/>
      <c r="M727" s="17"/>
      <c r="S727" s="17"/>
      <c r="U727" s="4"/>
      <c r="X727" s="17"/>
      <c r="Z727" s="21"/>
      <c r="AA727" s="5"/>
    </row>
    <row r="728" spans="3:27" x14ac:dyDescent="0.25">
      <c r="C728" s="10"/>
      <c r="F728" s="17"/>
      <c r="M728" s="17"/>
      <c r="S728" s="17"/>
      <c r="U728" s="4"/>
      <c r="X728" s="17"/>
      <c r="Z728" s="21"/>
      <c r="AA728" s="5"/>
    </row>
    <row r="729" spans="3:27" x14ac:dyDescent="0.25">
      <c r="C729" s="10"/>
      <c r="F729" s="17"/>
      <c r="M729" s="17"/>
      <c r="S729" s="17"/>
      <c r="U729" s="4"/>
      <c r="X729" s="17"/>
      <c r="Z729" s="21"/>
      <c r="AA729" s="5"/>
    </row>
    <row r="730" spans="3:27" x14ac:dyDescent="0.25">
      <c r="C730" s="10"/>
      <c r="F730" s="17"/>
      <c r="M730" s="17"/>
      <c r="S730" s="17"/>
      <c r="U730" s="4"/>
      <c r="X730" s="17"/>
      <c r="Z730" s="21"/>
      <c r="AA730" s="5"/>
    </row>
    <row r="731" spans="3:27" x14ac:dyDescent="0.25">
      <c r="C731" s="10"/>
      <c r="F731" s="17"/>
      <c r="M731" s="17"/>
      <c r="S731" s="17"/>
      <c r="U731" s="4"/>
      <c r="X731" s="17"/>
      <c r="Z731" s="21"/>
      <c r="AA731" s="5"/>
    </row>
    <row r="732" spans="3:27" x14ac:dyDescent="0.25">
      <c r="C732" s="10"/>
      <c r="F732" s="17"/>
      <c r="M732" s="17"/>
      <c r="S732" s="17"/>
      <c r="U732" s="4"/>
      <c r="X732" s="17"/>
      <c r="Z732" s="21"/>
      <c r="AA732" s="5"/>
    </row>
    <row r="733" spans="3:27" x14ac:dyDescent="0.25">
      <c r="C733" s="10"/>
      <c r="F733" s="17"/>
      <c r="M733" s="17"/>
      <c r="S733" s="17"/>
      <c r="U733" s="4"/>
      <c r="X733" s="17"/>
      <c r="Z733" s="21"/>
      <c r="AA733" s="5"/>
    </row>
    <row r="734" spans="3:27" x14ac:dyDescent="0.25">
      <c r="C734" s="10"/>
      <c r="F734" s="17"/>
      <c r="M734" s="17"/>
      <c r="S734" s="17"/>
      <c r="U734" s="4"/>
      <c r="X734" s="17"/>
      <c r="Z734" s="21"/>
      <c r="AA734" s="5"/>
    </row>
    <row r="735" spans="3:27" x14ac:dyDescent="0.25">
      <c r="C735" s="10"/>
      <c r="F735" s="17"/>
      <c r="M735" s="17"/>
      <c r="S735" s="17"/>
      <c r="U735" s="4"/>
      <c r="X735" s="17"/>
      <c r="Z735" s="21"/>
      <c r="AA735" s="5"/>
    </row>
    <row r="736" spans="3:27" x14ac:dyDescent="0.25">
      <c r="C736" s="10"/>
      <c r="F736" s="17"/>
      <c r="M736" s="17"/>
      <c r="S736" s="17"/>
      <c r="U736" s="4"/>
      <c r="X736" s="17"/>
      <c r="Z736" s="21"/>
      <c r="AA736" s="5"/>
    </row>
    <row r="737" spans="3:27" x14ac:dyDescent="0.25">
      <c r="C737" s="10"/>
      <c r="F737" s="17"/>
      <c r="M737" s="17"/>
      <c r="S737" s="17"/>
      <c r="U737" s="4"/>
      <c r="X737" s="17"/>
      <c r="Z737" s="21"/>
      <c r="AA737" s="5"/>
    </row>
    <row r="738" spans="3:27" x14ac:dyDescent="0.25">
      <c r="C738" s="10"/>
      <c r="F738" s="17"/>
      <c r="M738" s="17"/>
      <c r="S738" s="17"/>
      <c r="U738" s="4"/>
      <c r="X738" s="17"/>
      <c r="Z738" s="21"/>
      <c r="AA738" s="5"/>
    </row>
    <row r="739" spans="3:27" x14ac:dyDescent="0.25">
      <c r="C739" s="10"/>
      <c r="F739" s="17"/>
      <c r="M739" s="17"/>
      <c r="S739" s="17"/>
      <c r="U739" s="4"/>
      <c r="X739" s="17"/>
      <c r="Z739" s="21"/>
      <c r="AA739" s="5"/>
    </row>
    <row r="740" spans="3:27" x14ac:dyDescent="0.25">
      <c r="C740" s="10"/>
      <c r="F740" s="17"/>
      <c r="M740" s="17"/>
      <c r="S740" s="17"/>
      <c r="U740" s="4"/>
      <c r="X740" s="17"/>
      <c r="Z740" s="21"/>
      <c r="AA740" s="5"/>
    </row>
    <row r="741" spans="3:27" x14ac:dyDescent="0.25">
      <c r="C741" s="10"/>
      <c r="F741" s="17"/>
      <c r="M741" s="17"/>
      <c r="S741" s="17"/>
      <c r="U741" s="4"/>
      <c r="X741" s="17"/>
      <c r="Z741" s="21"/>
      <c r="AA741" s="5"/>
    </row>
    <row r="742" spans="3:27" x14ac:dyDescent="0.25">
      <c r="C742" s="10"/>
      <c r="F742" s="17"/>
      <c r="M742" s="17"/>
      <c r="S742" s="17"/>
      <c r="U742" s="4"/>
      <c r="X742" s="17"/>
      <c r="Z742" s="21"/>
      <c r="AA742" s="5"/>
    </row>
    <row r="743" spans="3:27" x14ac:dyDescent="0.25">
      <c r="C743" s="10"/>
      <c r="F743" s="17"/>
      <c r="M743" s="17"/>
      <c r="S743" s="17"/>
      <c r="U743" s="4"/>
      <c r="X743" s="17"/>
      <c r="Z743" s="21"/>
      <c r="AA743" s="5"/>
    </row>
    <row r="744" spans="3:27" x14ac:dyDescent="0.25">
      <c r="C744" s="10"/>
      <c r="F744" s="17"/>
      <c r="M744" s="17"/>
      <c r="S744" s="17"/>
      <c r="U744" s="4"/>
      <c r="X744" s="17"/>
      <c r="Z744" s="21"/>
      <c r="AA744" s="5"/>
    </row>
    <row r="745" spans="3:27" x14ac:dyDescent="0.25">
      <c r="C745" s="10"/>
      <c r="F745" s="17"/>
      <c r="M745" s="17"/>
      <c r="S745" s="17"/>
      <c r="U745" s="4"/>
      <c r="X745" s="17"/>
      <c r="Z745" s="21"/>
      <c r="AA745" s="5"/>
    </row>
    <row r="746" spans="3:27" x14ac:dyDescent="0.25">
      <c r="C746" s="10"/>
      <c r="F746" s="17"/>
      <c r="M746" s="17"/>
      <c r="S746" s="17"/>
      <c r="U746" s="4"/>
      <c r="X746" s="17"/>
      <c r="Z746" s="21"/>
      <c r="AA746" s="5"/>
    </row>
    <row r="747" spans="3:27" x14ac:dyDescent="0.25">
      <c r="C747" s="10"/>
      <c r="F747" s="17"/>
      <c r="M747" s="17"/>
      <c r="S747" s="17"/>
      <c r="U747" s="4"/>
      <c r="X747" s="17"/>
      <c r="Z747" s="21"/>
      <c r="AA747" s="5"/>
    </row>
    <row r="748" spans="3:27" x14ac:dyDescent="0.25">
      <c r="C748" s="10"/>
      <c r="F748" s="17"/>
      <c r="M748" s="17"/>
      <c r="S748" s="17"/>
      <c r="U748" s="4"/>
      <c r="X748" s="17"/>
      <c r="Z748" s="21"/>
      <c r="AA748" s="5"/>
    </row>
    <row r="749" spans="3:27" x14ac:dyDescent="0.25">
      <c r="C749" s="10"/>
      <c r="F749" s="17"/>
      <c r="M749" s="17"/>
      <c r="S749" s="17"/>
      <c r="U749" s="4"/>
      <c r="X749" s="17"/>
      <c r="Z749" s="21"/>
      <c r="AA749" s="5"/>
    </row>
    <row r="750" spans="3:27" x14ac:dyDescent="0.25">
      <c r="C750" s="10"/>
      <c r="F750" s="17"/>
      <c r="M750" s="17"/>
      <c r="S750" s="17"/>
      <c r="U750" s="4"/>
      <c r="X750" s="17"/>
      <c r="Z750" s="21"/>
      <c r="AA750" s="5"/>
    </row>
    <row r="751" spans="3:27" x14ac:dyDescent="0.25">
      <c r="C751" s="10"/>
      <c r="F751" s="17"/>
      <c r="M751" s="17"/>
      <c r="S751" s="17"/>
      <c r="U751" s="4"/>
      <c r="X751" s="17"/>
      <c r="Z751" s="21"/>
      <c r="AA751" s="5"/>
    </row>
    <row r="752" spans="3:27" x14ac:dyDescent="0.25">
      <c r="C752" s="10"/>
      <c r="F752" s="17"/>
      <c r="M752" s="17"/>
      <c r="S752" s="17"/>
      <c r="U752" s="4"/>
      <c r="X752" s="17"/>
      <c r="Z752" s="21"/>
      <c r="AA752" s="5"/>
    </row>
    <row r="753" spans="3:27" x14ac:dyDescent="0.25">
      <c r="C753" s="10"/>
      <c r="F753" s="17"/>
      <c r="M753" s="17"/>
      <c r="S753" s="17"/>
      <c r="U753" s="4"/>
      <c r="X753" s="17"/>
      <c r="Z753" s="21"/>
      <c r="AA753" s="5"/>
    </row>
    <row r="754" spans="3:27" x14ac:dyDescent="0.25">
      <c r="C754" s="10"/>
      <c r="F754" s="17"/>
      <c r="M754" s="17"/>
      <c r="S754" s="17"/>
      <c r="U754" s="4"/>
      <c r="X754" s="17"/>
      <c r="Z754" s="21"/>
      <c r="AA754" s="5"/>
    </row>
    <row r="755" spans="3:27" x14ac:dyDescent="0.25">
      <c r="C755" s="10"/>
      <c r="F755" s="17"/>
      <c r="M755" s="17"/>
      <c r="S755" s="17"/>
      <c r="U755" s="4"/>
      <c r="X755" s="17"/>
      <c r="Z755" s="21"/>
      <c r="AA755" s="5"/>
    </row>
    <row r="756" spans="3:27" x14ac:dyDescent="0.25">
      <c r="C756" s="10"/>
      <c r="F756" s="17"/>
      <c r="M756" s="17"/>
      <c r="S756" s="17"/>
      <c r="U756" s="4"/>
      <c r="X756" s="17"/>
      <c r="Z756" s="21"/>
      <c r="AA756" s="5"/>
    </row>
    <row r="757" spans="3:27" x14ac:dyDescent="0.25">
      <c r="C757" s="10"/>
      <c r="F757" s="17"/>
      <c r="M757" s="17"/>
      <c r="S757" s="17"/>
      <c r="U757" s="4"/>
      <c r="X757" s="17"/>
      <c r="Z757" s="21"/>
      <c r="AA757" s="5"/>
    </row>
    <row r="758" spans="3:27" x14ac:dyDescent="0.25">
      <c r="C758" s="10"/>
      <c r="F758" s="17"/>
      <c r="M758" s="17"/>
      <c r="S758" s="17"/>
      <c r="U758" s="4"/>
      <c r="X758" s="17"/>
      <c r="Z758" s="21"/>
      <c r="AA758" s="5"/>
    </row>
    <row r="759" spans="3:27" x14ac:dyDescent="0.25">
      <c r="C759" s="10"/>
      <c r="F759" s="17"/>
      <c r="M759" s="17"/>
      <c r="S759" s="17"/>
      <c r="U759" s="4"/>
      <c r="X759" s="17"/>
      <c r="Z759" s="21"/>
      <c r="AA759" s="5"/>
    </row>
    <row r="760" spans="3:27" x14ac:dyDescent="0.25">
      <c r="C760" s="10"/>
      <c r="F760" s="17"/>
      <c r="M760" s="17"/>
      <c r="S760" s="17"/>
      <c r="U760" s="4"/>
      <c r="X760" s="17"/>
      <c r="Z760" s="21"/>
      <c r="AA760" s="5"/>
    </row>
    <row r="761" spans="3:27" x14ac:dyDescent="0.25">
      <c r="C761" s="10"/>
      <c r="F761" s="17"/>
      <c r="M761" s="17"/>
      <c r="S761" s="17"/>
      <c r="U761" s="4"/>
      <c r="X761" s="17"/>
      <c r="Z761" s="21"/>
      <c r="AA761" s="5"/>
    </row>
    <row r="762" spans="3:27" x14ac:dyDescent="0.25">
      <c r="C762" s="10"/>
      <c r="F762" s="17"/>
      <c r="M762" s="17"/>
      <c r="S762" s="17"/>
      <c r="U762" s="4"/>
      <c r="X762" s="17"/>
      <c r="Z762" s="21"/>
      <c r="AA762" s="5"/>
    </row>
    <row r="763" spans="3:27" x14ac:dyDescent="0.25">
      <c r="C763" s="10"/>
      <c r="F763" s="17"/>
      <c r="M763" s="17"/>
      <c r="S763" s="17"/>
      <c r="U763" s="4"/>
      <c r="X763" s="17"/>
      <c r="Z763" s="21"/>
      <c r="AA763" s="5"/>
    </row>
    <row r="764" spans="3:27" x14ac:dyDescent="0.25">
      <c r="C764" s="10"/>
      <c r="F764" s="17"/>
      <c r="M764" s="17"/>
      <c r="S764" s="17"/>
      <c r="U764" s="4"/>
      <c r="X764" s="17"/>
      <c r="Z764" s="21"/>
      <c r="AA764" s="5"/>
    </row>
    <row r="765" spans="3:27" x14ac:dyDescent="0.25">
      <c r="C765" s="10"/>
      <c r="F765" s="17"/>
      <c r="M765" s="17"/>
      <c r="S765" s="17"/>
      <c r="U765" s="4"/>
      <c r="X765" s="17"/>
      <c r="Z765" s="21"/>
      <c r="AA765" s="5"/>
    </row>
    <row r="766" spans="3:27" x14ac:dyDescent="0.25">
      <c r="C766" s="10"/>
      <c r="F766" s="17"/>
      <c r="M766" s="17"/>
      <c r="S766" s="17"/>
      <c r="U766" s="4"/>
      <c r="X766" s="17"/>
      <c r="Z766" s="21"/>
      <c r="AA766" s="5"/>
    </row>
    <row r="767" spans="3:27" x14ac:dyDescent="0.25">
      <c r="C767" s="10"/>
      <c r="F767" s="17"/>
      <c r="M767" s="17"/>
      <c r="S767" s="17"/>
      <c r="U767" s="4"/>
      <c r="X767" s="17"/>
      <c r="Z767" s="21"/>
      <c r="AA767" s="5"/>
    </row>
    <row r="768" spans="3:27" x14ac:dyDescent="0.25">
      <c r="C768" s="10"/>
      <c r="F768" s="17"/>
      <c r="M768" s="17"/>
      <c r="S768" s="17"/>
      <c r="U768" s="4"/>
      <c r="X768" s="17"/>
      <c r="Z768" s="21"/>
      <c r="AA768" s="5"/>
    </row>
    <row r="769" spans="3:27" x14ac:dyDescent="0.25">
      <c r="C769" s="10"/>
      <c r="F769" s="17"/>
      <c r="M769" s="17"/>
      <c r="S769" s="17"/>
      <c r="U769" s="4"/>
      <c r="X769" s="17"/>
      <c r="Z769" s="21"/>
      <c r="AA769" s="5"/>
    </row>
    <row r="770" spans="3:27" x14ac:dyDescent="0.25">
      <c r="C770" s="10"/>
      <c r="F770" s="17"/>
      <c r="M770" s="17"/>
      <c r="S770" s="17"/>
      <c r="U770" s="4"/>
      <c r="X770" s="17"/>
      <c r="Z770" s="21"/>
      <c r="AA770" s="5"/>
    </row>
    <row r="771" spans="3:27" x14ac:dyDescent="0.25">
      <c r="C771" s="10"/>
      <c r="F771" s="17"/>
      <c r="M771" s="17"/>
      <c r="S771" s="17"/>
      <c r="U771" s="4"/>
      <c r="X771" s="17"/>
      <c r="Z771" s="21"/>
      <c r="AA771" s="5"/>
    </row>
    <row r="772" spans="3:27" x14ac:dyDescent="0.25">
      <c r="C772" s="10"/>
      <c r="F772" s="17"/>
      <c r="M772" s="17"/>
      <c r="S772" s="17"/>
      <c r="U772" s="4"/>
      <c r="X772" s="17"/>
      <c r="Z772" s="21"/>
      <c r="AA772" s="5"/>
    </row>
    <row r="773" spans="3:27" x14ac:dyDescent="0.25">
      <c r="C773" s="10"/>
      <c r="F773" s="17"/>
      <c r="M773" s="17"/>
      <c r="S773" s="17"/>
      <c r="U773" s="4"/>
      <c r="X773" s="17"/>
      <c r="Z773" s="21"/>
      <c r="AA773" s="5"/>
    </row>
    <row r="774" spans="3:27" x14ac:dyDescent="0.25">
      <c r="C774" s="10"/>
      <c r="F774" s="17"/>
      <c r="M774" s="17"/>
      <c r="S774" s="17"/>
      <c r="U774" s="4"/>
      <c r="X774" s="17"/>
      <c r="Z774" s="21"/>
      <c r="AA774" s="5"/>
    </row>
    <row r="775" spans="3:27" x14ac:dyDescent="0.25">
      <c r="C775" s="10"/>
      <c r="F775" s="17"/>
      <c r="M775" s="17"/>
      <c r="S775" s="17"/>
      <c r="U775" s="4"/>
      <c r="X775" s="17"/>
      <c r="Z775" s="21"/>
      <c r="AA775" s="5"/>
    </row>
    <row r="776" spans="3:27" x14ac:dyDescent="0.25">
      <c r="C776" s="10"/>
      <c r="F776" s="17"/>
      <c r="M776" s="17"/>
      <c r="S776" s="17"/>
      <c r="U776" s="4"/>
      <c r="X776" s="17"/>
      <c r="Z776" s="21"/>
      <c r="AA776" s="5"/>
    </row>
    <row r="777" spans="3:27" x14ac:dyDescent="0.25">
      <c r="C777" s="10"/>
      <c r="F777" s="17"/>
      <c r="M777" s="17"/>
      <c r="S777" s="17"/>
      <c r="U777" s="4"/>
      <c r="X777" s="17"/>
      <c r="Z777" s="21"/>
      <c r="AA777" s="5"/>
    </row>
    <row r="778" spans="3:27" x14ac:dyDescent="0.25">
      <c r="C778" s="10"/>
      <c r="F778" s="17"/>
      <c r="M778" s="17"/>
      <c r="S778" s="17"/>
      <c r="U778" s="4"/>
      <c r="X778" s="17"/>
      <c r="Z778" s="21"/>
      <c r="AA778" s="5"/>
    </row>
    <row r="779" spans="3:27" x14ac:dyDescent="0.25">
      <c r="C779" s="10"/>
      <c r="F779" s="17"/>
      <c r="M779" s="17"/>
      <c r="S779" s="17"/>
      <c r="U779" s="4"/>
      <c r="X779" s="17"/>
      <c r="Z779" s="21"/>
      <c r="AA779" s="5"/>
    </row>
    <row r="780" spans="3:27" x14ac:dyDescent="0.25">
      <c r="C780" s="10"/>
      <c r="F780" s="17"/>
      <c r="M780" s="17"/>
      <c r="S780" s="17"/>
      <c r="U780" s="4"/>
      <c r="X780" s="17"/>
      <c r="Z780" s="21"/>
      <c r="AA780" s="5"/>
    </row>
    <row r="781" spans="3:27" x14ac:dyDescent="0.25">
      <c r="C781" s="10"/>
      <c r="F781" s="17"/>
      <c r="M781" s="17"/>
      <c r="S781" s="17"/>
      <c r="U781" s="4"/>
      <c r="X781" s="17"/>
      <c r="Z781" s="21"/>
      <c r="AA781" s="5"/>
    </row>
    <row r="782" spans="3:27" x14ac:dyDescent="0.25">
      <c r="C782" s="10"/>
      <c r="F782" s="17"/>
      <c r="M782" s="17"/>
      <c r="S782" s="17"/>
      <c r="U782" s="4"/>
      <c r="X782" s="17"/>
      <c r="Z782" s="21"/>
      <c r="AA782" s="5"/>
    </row>
    <row r="783" spans="3:27" x14ac:dyDescent="0.25">
      <c r="C783" s="10"/>
      <c r="F783" s="17"/>
      <c r="M783" s="17"/>
      <c r="S783" s="17"/>
      <c r="U783" s="4"/>
      <c r="X783" s="17"/>
      <c r="Z783" s="21"/>
      <c r="AA783" s="5"/>
    </row>
    <row r="784" spans="3:27" x14ac:dyDescent="0.25">
      <c r="C784" s="10"/>
      <c r="F784" s="17"/>
      <c r="M784" s="17"/>
      <c r="S784" s="17"/>
      <c r="U784" s="4"/>
      <c r="X784" s="17"/>
      <c r="Z784" s="21"/>
      <c r="AA784" s="5"/>
    </row>
    <row r="785" spans="3:27" x14ac:dyDescent="0.25">
      <c r="C785" s="10"/>
      <c r="F785" s="17"/>
      <c r="M785" s="17"/>
      <c r="S785" s="17"/>
      <c r="U785" s="4"/>
      <c r="X785" s="17"/>
      <c r="Z785" s="21"/>
      <c r="AA785" s="5"/>
    </row>
    <row r="786" spans="3:27" x14ac:dyDescent="0.25">
      <c r="C786" s="10"/>
      <c r="F786" s="17"/>
      <c r="M786" s="17"/>
      <c r="S786" s="17"/>
      <c r="U786" s="4"/>
      <c r="X786" s="17"/>
      <c r="Z786" s="21"/>
      <c r="AA786" s="5"/>
    </row>
    <row r="787" spans="3:27" x14ac:dyDescent="0.25">
      <c r="C787" s="10"/>
      <c r="F787" s="17"/>
      <c r="M787" s="17"/>
      <c r="S787" s="17"/>
      <c r="U787" s="4"/>
      <c r="X787" s="17"/>
      <c r="Z787" s="21"/>
      <c r="AA787" s="5"/>
    </row>
    <row r="788" spans="3:27" x14ac:dyDescent="0.25">
      <c r="C788" s="10"/>
      <c r="F788" s="17"/>
      <c r="M788" s="17"/>
      <c r="S788" s="17"/>
      <c r="U788" s="4"/>
      <c r="X788" s="17"/>
      <c r="Z788" s="21"/>
      <c r="AA788" s="5"/>
    </row>
    <row r="789" spans="3:27" x14ac:dyDescent="0.25">
      <c r="C789" s="10"/>
      <c r="F789" s="17"/>
      <c r="M789" s="17"/>
      <c r="S789" s="17"/>
      <c r="U789" s="4"/>
      <c r="X789" s="17"/>
      <c r="Z789" s="21"/>
      <c r="AA789" s="5"/>
    </row>
    <row r="790" spans="3:27" x14ac:dyDescent="0.25">
      <c r="C790" s="10"/>
      <c r="F790" s="17"/>
      <c r="M790" s="17"/>
      <c r="S790" s="17"/>
      <c r="U790" s="4"/>
      <c r="X790" s="17"/>
      <c r="Z790" s="21"/>
      <c r="AA790" s="5"/>
    </row>
    <row r="791" spans="3:27" x14ac:dyDescent="0.25">
      <c r="C791" s="10"/>
      <c r="F791" s="17"/>
      <c r="M791" s="17"/>
      <c r="S791" s="17"/>
      <c r="U791" s="4"/>
      <c r="X791" s="17"/>
      <c r="Z791" s="21"/>
      <c r="AA791" s="5"/>
    </row>
    <row r="792" spans="3:27" x14ac:dyDescent="0.25">
      <c r="C792" s="10"/>
      <c r="F792" s="17"/>
      <c r="M792" s="17"/>
      <c r="S792" s="17"/>
      <c r="U792" s="4"/>
      <c r="X792" s="17"/>
      <c r="Z792" s="21"/>
      <c r="AA792" s="5"/>
    </row>
    <row r="793" spans="3:27" x14ac:dyDescent="0.25">
      <c r="C793" s="10"/>
      <c r="F793" s="17"/>
      <c r="M793" s="17"/>
      <c r="S793" s="17"/>
      <c r="U793" s="4"/>
      <c r="X793" s="17"/>
      <c r="Z793" s="21"/>
      <c r="AA793" s="5"/>
    </row>
    <row r="794" spans="3:27" x14ac:dyDescent="0.25">
      <c r="C794" s="10"/>
      <c r="F794" s="17"/>
      <c r="M794" s="17"/>
      <c r="S794" s="17"/>
      <c r="U794" s="4"/>
      <c r="X794" s="17"/>
      <c r="Z794" s="21"/>
      <c r="AA794" s="5"/>
    </row>
    <row r="795" spans="3:27" x14ac:dyDescent="0.25">
      <c r="C795" s="10"/>
      <c r="F795" s="17"/>
      <c r="M795" s="17"/>
      <c r="S795" s="17"/>
      <c r="U795" s="4"/>
      <c r="X795" s="17"/>
      <c r="Z795" s="21"/>
      <c r="AA795" s="5"/>
    </row>
    <row r="796" spans="3:27" x14ac:dyDescent="0.25">
      <c r="C796" s="10"/>
      <c r="F796" s="17"/>
      <c r="M796" s="17"/>
      <c r="S796" s="17"/>
      <c r="U796" s="4"/>
      <c r="X796" s="17"/>
      <c r="Z796" s="21"/>
      <c r="AA796" s="5"/>
    </row>
    <row r="797" spans="3:27" x14ac:dyDescent="0.25">
      <c r="C797" s="10"/>
      <c r="F797" s="17"/>
      <c r="M797" s="17"/>
      <c r="S797" s="17"/>
      <c r="U797" s="4"/>
      <c r="X797" s="17"/>
      <c r="Z797" s="21"/>
      <c r="AA797" s="5"/>
    </row>
    <row r="798" spans="3:27" x14ac:dyDescent="0.25">
      <c r="C798" s="10"/>
      <c r="F798" s="17"/>
      <c r="M798" s="17"/>
      <c r="S798" s="17"/>
      <c r="U798" s="4"/>
      <c r="X798" s="17"/>
      <c r="Z798" s="21"/>
      <c r="AA798" s="5"/>
    </row>
    <row r="799" spans="3:27" x14ac:dyDescent="0.25">
      <c r="C799" s="10"/>
      <c r="F799" s="17"/>
      <c r="M799" s="17"/>
      <c r="S799" s="17"/>
      <c r="U799" s="4"/>
      <c r="X799" s="17"/>
      <c r="Z799" s="21"/>
      <c r="AA799" s="5"/>
    </row>
    <row r="800" spans="3:27" x14ac:dyDescent="0.25">
      <c r="C800" s="10"/>
      <c r="F800" s="17"/>
      <c r="M800" s="17"/>
      <c r="S800" s="17"/>
      <c r="U800" s="4"/>
      <c r="X800" s="17"/>
      <c r="Z800" s="21"/>
      <c r="AA800" s="5"/>
    </row>
    <row r="801" spans="3:27" x14ac:dyDescent="0.25">
      <c r="C801" s="10"/>
      <c r="F801" s="17"/>
      <c r="M801" s="17"/>
      <c r="S801" s="17"/>
      <c r="U801" s="4"/>
      <c r="X801" s="17"/>
      <c r="Z801" s="21"/>
      <c r="AA801" s="5"/>
    </row>
    <row r="802" spans="3:27" x14ac:dyDescent="0.25">
      <c r="C802" s="10"/>
      <c r="F802" s="17"/>
      <c r="M802" s="17"/>
      <c r="S802" s="17"/>
      <c r="U802" s="4"/>
      <c r="X802" s="17"/>
      <c r="Z802" s="21"/>
      <c r="AA802" s="5"/>
    </row>
    <row r="803" spans="3:27" x14ac:dyDescent="0.25">
      <c r="C803" s="10"/>
      <c r="F803" s="17"/>
      <c r="M803" s="17"/>
      <c r="S803" s="17"/>
      <c r="U803" s="4"/>
      <c r="X803" s="17"/>
      <c r="Z803" s="21"/>
      <c r="AA803" s="5"/>
    </row>
    <row r="804" spans="3:27" x14ac:dyDescent="0.25">
      <c r="C804" s="10"/>
      <c r="F804" s="17"/>
      <c r="M804" s="17"/>
      <c r="S804" s="17"/>
      <c r="U804" s="4"/>
      <c r="X804" s="17"/>
      <c r="Z804" s="21"/>
      <c r="AA804" s="5"/>
    </row>
    <row r="805" spans="3:27" x14ac:dyDescent="0.25">
      <c r="C805" s="10"/>
      <c r="F805" s="17"/>
      <c r="M805" s="17"/>
      <c r="S805" s="17"/>
      <c r="U805" s="4"/>
      <c r="X805" s="17"/>
      <c r="Z805" s="21"/>
      <c r="AA805" s="5"/>
    </row>
    <row r="806" spans="3:27" x14ac:dyDescent="0.25">
      <c r="C806" s="10"/>
      <c r="F806" s="17"/>
      <c r="M806" s="17"/>
      <c r="S806" s="17"/>
      <c r="U806" s="4"/>
      <c r="X806" s="17"/>
      <c r="Z806" s="21"/>
      <c r="AA806" s="5"/>
    </row>
    <row r="807" spans="3:27" x14ac:dyDescent="0.25">
      <c r="C807" s="10"/>
      <c r="F807" s="17"/>
      <c r="M807" s="17"/>
      <c r="S807" s="17"/>
      <c r="U807" s="4"/>
      <c r="X807" s="17"/>
      <c r="Z807" s="21"/>
      <c r="AA807" s="5"/>
    </row>
    <row r="808" spans="3:27" x14ac:dyDescent="0.25">
      <c r="C808" s="10"/>
      <c r="F808" s="17"/>
      <c r="M808" s="17"/>
      <c r="S808" s="17"/>
      <c r="U808" s="4"/>
      <c r="X808" s="17"/>
      <c r="Z808" s="21"/>
      <c r="AA808" s="5"/>
    </row>
    <row r="809" spans="3:27" x14ac:dyDescent="0.25">
      <c r="C809" s="10"/>
      <c r="F809" s="17"/>
      <c r="M809" s="17"/>
      <c r="S809" s="17"/>
      <c r="U809" s="4"/>
      <c r="X809" s="17"/>
      <c r="Z809" s="21"/>
      <c r="AA809" s="5"/>
    </row>
    <row r="810" spans="3:27" x14ac:dyDescent="0.25">
      <c r="C810" s="10"/>
      <c r="F810" s="17"/>
      <c r="M810" s="17"/>
      <c r="S810" s="17"/>
      <c r="U810" s="4"/>
      <c r="X810" s="17"/>
      <c r="Z810" s="21"/>
      <c r="AA810" s="5"/>
    </row>
    <row r="811" spans="3:27" x14ac:dyDescent="0.25">
      <c r="C811" s="10"/>
      <c r="F811" s="17"/>
      <c r="M811" s="17"/>
      <c r="S811" s="17"/>
      <c r="U811" s="4"/>
      <c r="X811" s="17"/>
      <c r="Z811" s="21"/>
      <c r="AA811" s="5"/>
    </row>
    <row r="812" spans="3:27" x14ac:dyDescent="0.25">
      <c r="C812" s="10"/>
      <c r="F812" s="17"/>
      <c r="M812" s="17"/>
      <c r="S812" s="17"/>
      <c r="U812" s="4"/>
      <c r="X812" s="17"/>
      <c r="Z812" s="21"/>
      <c r="AA812" s="5"/>
    </row>
    <row r="813" spans="3:27" x14ac:dyDescent="0.25">
      <c r="C813" s="10"/>
      <c r="F813" s="17"/>
      <c r="M813" s="17"/>
      <c r="S813" s="17"/>
      <c r="U813" s="4"/>
      <c r="X813" s="17"/>
      <c r="Z813" s="21"/>
      <c r="AA813" s="5"/>
    </row>
    <row r="814" spans="3:27" x14ac:dyDescent="0.25">
      <c r="C814" s="10"/>
      <c r="F814" s="17"/>
      <c r="M814" s="17"/>
      <c r="S814" s="17"/>
      <c r="U814" s="4"/>
      <c r="X814" s="17"/>
      <c r="Z814" s="21"/>
      <c r="AA814" s="5"/>
    </row>
    <row r="815" spans="3:27" x14ac:dyDescent="0.25">
      <c r="C815" s="10"/>
      <c r="F815" s="17"/>
      <c r="M815" s="17"/>
      <c r="S815" s="17"/>
      <c r="U815" s="4"/>
      <c r="X815" s="17"/>
      <c r="Z815" s="21"/>
      <c r="AA815" s="5"/>
    </row>
    <row r="816" spans="3:27" x14ac:dyDescent="0.25">
      <c r="C816" s="10"/>
      <c r="F816" s="17"/>
      <c r="M816" s="17"/>
      <c r="S816" s="17"/>
      <c r="U816" s="4"/>
      <c r="X816" s="17"/>
      <c r="Z816" s="21"/>
      <c r="AA816" s="5"/>
    </row>
    <row r="817" spans="3:27" x14ac:dyDescent="0.25">
      <c r="C817" s="10"/>
      <c r="F817" s="17"/>
      <c r="M817" s="17"/>
      <c r="S817" s="17"/>
      <c r="U817" s="4"/>
      <c r="X817" s="17"/>
      <c r="Z817" s="21"/>
      <c r="AA817" s="5"/>
    </row>
    <row r="818" spans="3:27" x14ac:dyDescent="0.25">
      <c r="C818" s="10"/>
      <c r="F818" s="17"/>
      <c r="M818" s="17"/>
      <c r="S818" s="17"/>
      <c r="U818" s="4"/>
      <c r="X818" s="17"/>
      <c r="Z818" s="21"/>
      <c r="AA818" s="5"/>
    </row>
    <row r="819" spans="3:27" x14ac:dyDescent="0.25">
      <c r="C819" s="10"/>
      <c r="F819" s="17"/>
      <c r="M819" s="17"/>
      <c r="S819" s="17"/>
      <c r="U819" s="4"/>
      <c r="X819" s="17"/>
      <c r="Z819" s="21"/>
      <c r="AA819" s="5"/>
    </row>
    <row r="820" spans="3:27" x14ac:dyDescent="0.25">
      <c r="C820" s="10"/>
      <c r="F820" s="17"/>
      <c r="M820" s="17"/>
      <c r="S820" s="17"/>
      <c r="U820" s="4"/>
      <c r="X820" s="17"/>
      <c r="Z820" s="21"/>
      <c r="AA820" s="5"/>
    </row>
    <row r="821" spans="3:27" x14ac:dyDescent="0.25">
      <c r="C821" s="10"/>
      <c r="F821" s="17"/>
      <c r="M821" s="17"/>
      <c r="S821" s="17"/>
      <c r="U821" s="4"/>
      <c r="X821" s="17"/>
      <c r="Z821" s="21"/>
      <c r="AA821" s="5"/>
    </row>
    <row r="822" spans="3:27" x14ac:dyDescent="0.25">
      <c r="C822" s="10"/>
      <c r="F822" s="17"/>
      <c r="M822" s="17"/>
      <c r="S822" s="17"/>
      <c r="U822" s="4"/>
      <c r="X822" s="17"/>
      <c r="Z822" s="21"/>
      <c r="AA822" s="5"/>
    </row>
    <row r="823" spans="3:27" x14ac:dyDescent="0.25">
      <c r="C823" s="10"/>
      <c r="F823" s="17"/>
      <c r="M823" s="17"/>
      <c r="S823" s="17"/>
      <c r="U823" s="4"/>
      <c r="X823" s="17"/>
      <c r="Z823" s="21"/>
      <c r="AA823" s="5"/>
    </row>
    <row r="824" spans="3:27" x14ac:dyDescent="0.25">
      <c r="C824" s="10"/>
      <c r="F824" s="17"/>
      <c r="M824" s="17"/>
      <c r="S824" s="17"/>
      <c r="U824" s="4"/>
      <c r="X824" s="17"/>
      <c r="Z824" s="21"/>
      <c r="AA824" s="5"/>
    </row>
    <row r="825" spans="3:27" x14ac:dyDescent="0.25">
      <c r="C825" s="10"/>
      <c r="F825" s="17"/>
      <c r="M825" s="17"/>
      <c r="S825" s="17"/>
      <c r="U825" s="4"/>
      <c r="X825" s="17"/>
      <c r="Z825" s="21"/>
      <c r="AA825" s="5"/>
    </row>
    <row r="826" spans="3:27" x14ac:dyDescent="0.25">
      <c r="C826" s="10"/>
      <c r="F826" s="17"/>
      <c r="M826" s="17"/>
      <c r="S826" s="17"/>
      <c r="U826" s="4"/>
      <c r="X826" s="17"/>
      <c r="Z826" s="21"/>
      <c r="AA826" s="5"/>
    </row>
    <row r="827" spans="3:27" x14ac:dyDescent="0.25">
      <c r="C827" s="10"/>
      <c r="F827" s="17"/>
      <c r="M827" s="17"/>
      <c r="S827" s="17"/>
      <c r="U827" s="4"/>
      <c r="X827" s="17"/>
      <c r="Z827" s="21"/>
      <c r="AA827" s="5"/>
    </row>
    <row r="828" spans="3:27" x14ac:dyDescent="0.25">
      <c r="C828" s="10"/>
      <c r="F828" s="17"/>
      <c r="M828" s="17"/>
      <c r="S828" s="17"/>
      <c r="U828" s="4"/>
      <c r="X828" s="17"/>
      <c r="Z828" s="21"/>
      <c r="AA828" s="5"/>
    </row>
    <row r="829" spans="3:27" x14ac:dyDescent="0.25">
      <c r="C829" s="10"/>
      <c r="F829" s="17"/>
      <c r="M829" s="17"/>
      <c r="S829" s="17"/>
      <c r="U829" s="4"/>
      <c r="X829" s="17"/>
      <c r="Z829" s="21"/>
      <c r="AA829" s="5"/>
    </row>
    <row r="830" spans="3:27" x14ac:dyDescent="0.25">
      <c r="C830" s="10"/>
      <c r="F830" s="17"/>
      <c r="M830" s="17"/>
      <c r="S830" s="17"/>
      <c r="U830" s="4"/>
      <c r="X830" s="17"/>
      <c r="Z830" s="21"/>
      <c r="AA830" s="5"/>
    </row>
    <row r="831" spans="3:27" x14ac:dyDescent="0.25">
      <c r="C831" s="10"/>
      <c r="F831" s="17"/>
      <c r="M831" s="17"/>
      <c r="S831" s="17"/>
      <c r="U831" s="4"/>
      <c r="X831" s="17"/>
      <c r="Z831" s="21"/>
      <c r="AA831" s="5"/>
    </row>
    <row r="832" spans="3:27" x14ac:dyDescent="0.25">
      <c r="C832" s="10"/>
      <c r="F832" s="17"/>
      <c r="M832" s="17"/>
      <c r="S832" s="17"/>
      <c r="U832" s="4"/>
      <c r="X832" s="17"/>
      <c r="Z832" s="21"/>
      <c r="AA832" s="5"/>
    </row>
    <row r="833" spans="3:27" x14ac:dyDescent="0.25">
      <c r="C833" s="10"/>
      <c r="F833" s="17"/>
      <c r="M833" s="17"/>
      <c r="S833" s="17"/>
      <c r="U833" s="4"/>
      <c r="X833" s="17"/>
      <c r="Z833" s="21"/>
      <c r="AA833" s="5"/>
    </row>
    <row r="834" spans="3:27" x14ac:dyDescent="0.25">
      <c r="C834" s="10"/>
      <c r="F834" s="17"/>
      <c r="M834" s="17"/>
      <c r="S834" s="17"/>
      <c r="U834" s="4"/>
      <c r="X834" s="17"/>
      <c r="Z834" s="21"/>
      <c r="AA834" s="5"/>
    </row>
    <row r="835" spans="3:27" x14ac:dyDescent="0.25">
      <c r="C835" s="10"/>
      <c r="F835" s="17"/>
      <c r="M835" s="17"/>
      <c r="S835" s="17"/>
      <c r="U835" s="4"/>
      <c r="X835" s="17"/>
      <c r="Z835" s="21"/>
      <c r="AA835" s="5"/>
    </row>
    <row r="836" spans="3:27" x14ac:dyDescent="0.25">
      <c r="C836" s="10"/>
      <c r="F836" s="17"/>
      <c r="M836" s="17"/>
      <c r="S836" s="17"/>
      <c r="U836" s="4"/>
      <c r="X836" s="17"/>
      <c r="Z836" s="21"/>
      <c r="AA836" s="5"/>
    </row>
    <row r="837" spans="3:27" x14ac:dyDescent="0.25">
      <c r="C837" s="10"/>
      <c r="F837" s="17"/>
      <c r="M837" s="17"/>
      <c r="S837" s="17"/>
      <c r="U837" s="4"/>
      <c r="X837" s="17"/>
      <c r="Z837" s="21"/>
      <c r="AA837" s="5"/>
    </row>
    <row r="838" spans="3:27" x14ac:dyDescent="0.25">
      <c r="C838" s="10"/>
      <c r="F838" s="17"/>
      <c r="M838" s="17"/>
      <c r="S838" s="17"/>
      <c r="U838" s="4"/>
      <c r="X838" s="17"/>
      <c r="Z838" s="21"/>
      <c r="AA838" s="5"/>
    </row>
    <row r="839" spans="3:27" x14ac:dyDescent="0.25">
      <c r="C839" s="10"/>
      <c r="F839" s="17"/>
      <c r="M839" s="17"/>
      <c r="S839" s="17"/>
      <c r="U839" s="4"/>
      <c r="X839" s="17"/>
      <c r="Z839" s="21"/>
      <c r="AA839" s="5"/>
    </row>
    <row r="840" spans="3:27" x14ac:dyDescent="0.25">
      <c r="C840" s="10"/>
      <c r="F840" s="17"/>
      <c r="M840" s="17"/>
      <c r="S840" s="17"/>
      <c r="U840" s="4"/>
      <c r="X840" s="17"/>
      <c r="Z840" s="21"/>
      <c r="AA840" s="5"/>
    </row>
    <row r="841" spans="3:27" x14ac:dyDescent="0.25">
      <c r="C841" s="10"/>
      <c r="F841" s="17"/>
      <c r="M841" s="17"/>
      <c r="S841" s="17"/>
      <c r="U841" s="4"/>
      <c r="X841" s="17"/>
      <c r="Z841" s="21"/>
      <c r="AA841" s="5"/>
    </row>
    <row r="842" spans="3:27" x14ac:dyDescent="0.25">
      <c r="C842" s="10"/>
      <c r="F842" s="17"/>
      <c r="M842" s="17"/>
      <c r="S842" s="17"/>
      <c r="U842" s="4"/>
      <c r="X842" s="17"/>
      <c r="Z842" s="21"/>
      <c r="AA842" s="5"/>
    </row>
    <row r="843" spans="3:27" x14ac:dyDescent="0.25">
      <c r="C843" s="10"/>
      <c r="F843" s="17"/>
      <c r="M843" s="17"/>
      <c r="S843" s="17"/>
      <c r="U843" s="4"/>
      <c r="X843" s="17"/>
      <c r="Z843" s="21"/>
      <c r="AA843" s="5"/>
    </row>
    <row r="844" spans="3:27" x14ac:dyDescent="0.25">
      <c r="C844" s="10"/>
      <c r="F844" s="17"/>
      <c r="M844" s="17"/>
      <c r="S844" s="17"/>
      <c r="U844" s="4"/>
      <c r="X844" s="17"/>
      <c r="Z844" s="21"/>
      <c r="AA844" s="5"/>
    </row>
    <row r="845" spans="3:27" x14ac:dyDescent="0.25">
      <c r="C845" s="10"/>
      <c r="F845" s="17"/>
      <c r="M845" s="17"/>
      <c r="S845" s="17"/>
      <c r="U845" s="4"/>
      <c r="X845" s="17"/>
      <c r="Z845" s="21"/>
      <c r="AA845" s="5"/>
    </row>
    <row r="846" spans="3:27" x14ac:dyDescent="0.25">
      <c r="C846" s="10"/>
      <c r="F846" s="17"/>
      <c r="M846" s="17"/>
      <c r="S846" s="17"/>
      <c r="U846" s="4"/>
      <c r="X846" s="17"/>
      <c r="Z846" s="21"/>
      <c r="AA846" s="5"/>
    </row>
    <row r="847" spans="3:27" x14ac:dyDescent="0.25">
      <c r="C847" s="10"/>
      <c r="F847" s="17"/>
      <c r="M847" s="17"/>
      <c r="S847" s="17"/>
      <c r="U847" s="4"/>
      <c r="X847" s="17"/>
      <c r="Z847" s="21"/>
      <c r="AA847" s="5"/>
    </row>
    <row r="848" spans="3:27" x14ac:dyDescent="0.25">
      <c r="C848" s="10"/>
      <c r="F848" s="17"/>
      <c r="M848" s="17"/>
      <c r="S848" s="17"/>
      <c r="U848" s="4"/>
      <c r="X848" s="17"/>
      <c r="Z848" s="21"/>
      <c r="AA848" s="5"/>
    </row>
    <row r="849" spans="3:27" x14ac:dyDescent="0.25">
      <c r="C849" s="10"/>
      <c r="F849" s="17"/>
      <c r="M849" s="17"/>
      <c r="S849" s="17"/>
      <c r="U849" s="4"/>
      <c r="X849" s="17"/>
      <c r="Z849" s="21"/>
      <c r="AA849" s="5"/>
    </row>
    <row r="850" spans="3:27" x14ac:dyDescent="0.25">
      <c r="C850" s="10"/>
      <c r="F850" s="17"/>
      <c r="M850" s="17"/>
      <c r="S850" s="17"/>
      <c r="U850" s="4"/>
      <c r="X850" s="17"/>
      <c r="Z850" s="21"/>
      <c r="AA850" s="5"/>
    </row>
    <row r="851" spans="3:27" x14ac:dyDescent="0.25">
      <c r="C851" s="10"/>
      <c r="F851" s="17"/>
      <c r="M851" s="17"/>
      <c r="S851" s="17"/>
      <c r="U851" s="4"/>
      <c r="X851" s="17"/>
      <c r="Z851" s="21"/>
      <c r="AA851" s="5"/>
    </row>
    <row r="852" spans="3:27" x14ac:dyDescent="0.25">
      <c r="C852" s="10"/>
      <c r="F852" s="17"/>
      <c r="M852" s="17"/>
      <c r="S852" s="17"/>
      <c r="U852" s="4"/>
      <c r="X852" s="17"/>
      <c r="Z852" s="21"/>
      <c r="AA852" s="5"/>
    </row>
    <row r="853" spans="3:27" x14ac:dyDescent="0.25">
      <c r="C853" s="10"/>
      <c r="F853" s="17"/>
      <c r="M853" s="17"/>
      <c r="S853" s="17"/>
      <c r="U853" s="4"/>
      <c r="X853" s="17"/>
      <c r="Z853" s="21"/>
      <c r="AA853" s="5"/>
    </row>
    <row r="854" spans="3:27" x14ac:dyDescent="0.25">
      <c r="C854" s="10"/>
      <c r="F854" s="17"/>
      <c r="M854" s="17"/>
      <c r="S854" s="17"/>
      <c r="U854" s="4"/>
      <c r="X854" s="17"/>
      <c r="Z854" s="21"/>
      <c r="AA854" s="5"/>
    </row>
    <row r="855" spans="3:27" x14ac:dyDescent="0.25">
      <c r="C855" s="10"/>
      <c r="F855" s="17"/>
      <c r="M855" s="17"/>
      <c r="S855" s="17"/>
      <c r="U855" s="4"/>
      <c r="X855" s="17"/>
      <c r="Z855" s="21"/>
      <c r="AA855" s="5"/>
    </row>
    <row r="856" spans="3:27" x14ac:dyDescent="0.25">
      <c r="C856" s="10"/>
      <c r="F856" s="17"/>
      <c r="M856" s="17"/>
      <c r="S856" s="17"/>
      <c r="U856" s="4"/>
      <c r="X856" s="17"/>
      <c r="Z856" s="21"/>
      <c r="AA856" s="5"/>
    </row>
    <row r="857" spans="3:27" x14ac:dyDescent="0.25">
      <c r="C857" s="10"/>
      <c r="F857" s="17"/>
      <c r="M857" s="17"/>
      <c r="S857" s="17"/>
      <c r="U857" s="4"/>
      <c r="X857" s="17"/>
      <c r="Z857" s="21"/>
      <c r="AA857" s="5"/>
    </row>
    <row r="858" spans="3:27" x14ac:dyDescent="0.25">
      <c r="C858" s="10"/>
      <c r="F858" s="17"/>
      <c r="M858" s="17"/>
      <c r="S858" s="17"/>
      <c r="U858" s="4"/>
      <c r="X858" s="17"/>
      <c r="Z858" s="21"/>
      <c r="AA858" s="5"/>
    </row>
    <row r="859" spans="3:27" x14ac:dyDescent="0.25">
      <c r="C859" s="10"/>
      <c r="F859" s="17"/>
      <c r="M859" s="17"/>
      <c r="S859" s="17"/>
      <c r="U859" s="4"/>
      <c r="X859" s="17"/>
      <c r="Z859" s="21"/>
      <c r="AA859" s="5"/>
    </row>
    <row r="860" spans="3:27" x14ac:dyDescent="0.25">
      <c r="C860" s="10"/>
      <c r="F860" s="17"/>
      <c r="M860" s="17"/>
      <c r="S860" s="17"/>
      <c r="U860" s="4"/>
      <c r="X860" s="17"/>
      <c r="Z860" s="21"/>
      <c r="AA860" s="5"/>
    </row>
    <row r="861" spans="3:27" x14ac:dyDescent="0.25">
      <c r="C861" s="10"/>
      <c r="F861" s="17"/>
      <c r="M861" s="17"/>
      <c r="S861" s="17"/>
      <c r="U861" s="4"/>
      <c r="X861" s="17"/>
      <c r="Z861" s="21"/>
      <c r="AA861" s="5"/>
    </row>
    <row r="862" spans="3:27" x14ac:dyDescent="0.25">
      <c r="C862" s="10"/>
      <c r="F862" s="17"/>
      <c r="M862" s="17"/>
      <c r="S862" s="17"/>
      <c r="U862" s="4"/>
      <c r="X862" s="17"/>
      <c r="Z862" s="21"/>
      <c r="AA862" s="5"/>
    </row>
    <row r="863" spans="3:27" x14ac:dyDescent="0.25">
      <c r="C863" s="10"/>
      <c r="F863" s="17"/>
      <c r="M863" s="17"/>
      <c r="S863" s="17"/>
      <c r="U863" s="4"/>
      <c r="X863" s="17"/>
      <c r="Z863" s="21"/>
      <c r="AA863" s="5"/>
    </row>
    <row r="864" spans="3:27" x14ac:dyDescent="0.25">
      <c r="C864" s="10"/>
      <c r="F864" s="17"/>
      <c r="M864" s="17"/>
      <c r="S864" s="17"/>
      <c r="U864" s="4"/>
      <c r="X864" s="17"/>
      <c r="Z864" s="21"/>
      <c r="AA864" s="5"/>
    </row>
    <row r="865" spans="3:27" x14ac:dyDescent="0.25">
      <c r="C865" s="10"/>
      <c r="F865" s="17"/>
      <c r="M865" s="17"/>
      <c r="S865" s="17"/>
      <c r="U865" s="4"/>
      <c r="X865" s="17"/>
      <c r="Z865" s="21"/>
      <c r="AA865" s="5"/>
    </row>
    <row r="866" spans="3:27" x14ac:dyDescent="0.25">
      <c r="C866" s="10"/>
      <c r="F866" s="17"/>
      <c r="M866" s="17"/>
      <c r="S866" s="17"/>
      <c r="U866" s="4"/>
      <c r="X866" s="17"/>
      <c r="Z866" s="21"/>
      <c r="AA866" s="5"/>
    </row>
    <row r="867" spans="3:27" x14ac:dyDescent="0.25">
      <c r="C867" s="10"/>
      <c r="F867" s="17"/>
      <c r="M867" s="17"/>
      <c r="S867" s="17"/>
      <c r="U867" s="4"/>
      <c r="X867" s="17"/>
      <c r="Z867" s="21"/>
      <c r="AA867" s="5"/>
    </row>
    <row r="868" spans="3:27" x14ac:dyDescent="0.25">
      <c r="C868" s="10"/>
      <c r="F868" s="17"/>
      <c r="M868" s="17"/>
      <c r="S868" s="17"/>
      <c r="U868" s="4"/>
      <c r="X868" s="17"/>
      <c r="Z868" s="21"/>
      <c r="AA868" s="5"/>
    </row>
    <row r="869" spans="3:27" x14ac:dyDescent="0.25">
      <c r="C869" s="10"/>
      <c r="F869" s="17"/>
      <c r="M869" s="17"/>
      <c r="S869" s="17"/>
      <c r="U869" s="4"/>
      <c r="X869" s="17"/>
      <c r="Z869" s="21"/>
      <c r="AA869" s="5"/>
    </row>
    <row r="870" spans="3:27" x14ac:dyDescent="0.25">
      <c r="C870" s="10"/>
      <c r="F870" s="17"/>
      <c r="M870" s="17"/>
      <c r="S870" s="17"/>
      <c r="U870" s="4"/>
      <c r="X870" s="17"/>
      <c r="Z870" s="21"/>
      <c r="AA870" s="5"/>
    </row>
    <row r="871" spans="3:27" x14ac:dyDescent="0.25">
      <c r="C871" s="10"/>
      <c r="F871" s="17"/>
      <c r="M871" s="17"/>
      <c r="S871" s="17"/>
      <c r="U871" s="4"/>
      <c r="X871" s="17"/>
      <c r="Z871" s="21"/>
      <c r="AA871" s="5"/>
    </row>
    <row r="872" spans="3:27" x14ac:dyDescent="0.25">
      <c r="C872" s="10"/>
      <c r="F872" s="17"/>
      <c r="M872" s="17"/>
      <c r="S872" s="17"/>
      <c r="U872" s="4"/>
      <c r="X872" s="17"/>
      <c r="Z872" s="21"/>
      <c r="AA872" s="5"/>
    </row>
    <row r="873" spans="3:27" x14ac:dyDescent="0.25">
      <c r="C873" s="10"/>
      <c r="F873" s="17"/>
      <c r="M873" s="17"/>
      <c r="S873" s="17"/>
      <c r="U873" s="4"/>
      <c r="X873" s="17"/>
      <c r="Z873" s="21"/>
      <c r="AA873" s="5"/>
    </row>
    <row r="874" spans="3:27" x14ac:dyDescent="0.25">
      <c r="C874" s="10"/>
      <c r="F874" s="17"/>
      <c r="M874" s="17"/>
      <c r="S874" s="17"/>
      <c r="U874" s="4"/>
      <c r="X874" s="17"/>
      <c r="Z874" s="21"/>
      <c r="AA874" s="5"/>
    </row>
    <row r="875" spans="3:27" x14ac:dyDescent="0.25">
      <c r="C875" s="10"/>
      <c r="F875" s="17"/>
      <c r="M875" s="17"/>
      <c r="S875" s="17"/>
      <c r="U875" s="4"/>
      <c r="X875" s="17"/>
      <c r="Z875" s="21"/>
      <c r="AA875" s="5"/>
    </row>
    <row r="876" spans="3:27" x14ac:dyDescent="0.25">
      <c r="C876" s="10"/>
      <c r="F876" s="17"/>
      <c r="M876" s="17"/>
      <c r="S876" s="17"/>
      <c r="U876" s="4"/>
      <c r="X876" s="17"/>
      <c r="Z876" s="21"/>
      <c r="AA876" s="5"/>
    </row>
    <row r="877" spans="3:27" x14ac:dyDescent="0.25">
      <c r="C877" s="10"/>
      <c r="F877" s="17"/>
      <c r="M877" s="17"/>
      <c r="S877" s="17"/>
      <c r="U877" s="4"/>
      <c r="X877" s="17"/>
      <c r="Z877" s="21"/>
      <c r="AA877" s="5"/>
    </row>
    <row r="878" spans="3:27" x14ac:dyDescent="0.25">
      <c r="C878" s="10"/>
      <c r="F878" s="17"/>
      <c r="M878" s="17"/>
      <c r="S878" s="17"/>
      <c r="U878" s="4"/>
      <c r="X878" s="17"/>
      <c r="Z878" s="21"/>
      <c r="AA878" s="5"/>
    </row>
    <row r="879" spans="3:27" x14ac:dyDescent="0.25">
      <c r="C879" s="10"/>
      <c r="F879" s="17"/>
      <c r="M879" s="17"/>
      <c r="S879" s="17"/>
      <c r="U879" s="4"/>
      <c r="X879" s="17"/>
      <c r="Z879" s="21"/>
      <c r="AA879" s="5"/>
    </row>
    <row r="880" spans="3:27" x14ac:dyDescent="0.25">
      <c r="C880" s="10"/>
      <c r="F880" s="17"/>
      <c r="M880" s="17"/>
      <c r="S880" s="17"/>
      <c r="U880" s="4"/>
      <c r="X880" s="17"/>
      <c r="Z880" s="21"/>
      <c r="AA880" s="5"/>
    </row>
    <row r="881" spans="3:27" x14ac:dyDescent="0.25">
      <c r="C881" s="10"/>
      <c r="F881" s="17"/>
      <c r="M881" s="17"/>
      <c r="S881" s="17"/>
      <c r="U881" s="4"/>
      <c r="X881" s="17"/>
      <c r="Z881" s="21"/>
      <c r="AA881" s="5"/>
    </row>
    <row r="882" spans="3:27" x14ac:dyDescent="0.25">
      <c r="C882" s="10"/>
      <c r="F882" s="17"/>
      <c r="M882" s="17"/>
      <c r="S882" s="17"/>
      <c r="U882" s="4"/>
      <c r="X882" s="17"/>
      <c r="Z882" s="21"/>
      <c r="AA882" s="5"/>
    </row>
    <row r="883" spans="3:27" x14ac:dyDescent="0.25">
      <c r="C883" s="10"/>
      <c r="F883" s="17"/>
      <c r="M883" s="17"/>
      <c r="S883" s="17"/>
      <c r="U883" s="4"/>
      <c r="X883" s="17"/>
      <c r="Z883" s="21"/>
      <c r="AA883" s="5"/>
    </row>
    <row r="884" spans="3:27" x14ac:dyDescent="0.25">
      <c r="C884" s="10"/>
      <c r="F884" s="17"/>
      <c r="M884" s="17"/>
      <c r="S884" s="17"/>
      <c r="U884" s="4"/>
      <c r="X884" s="17"/>
      <c r="Z884" s="21"/>
      <c r="AA884" s="5"/>
    </row>
    <row r="885" spans="3:27" x14ac:dyDescent="0.25">
      <c r="C885" s="10"/>
      <c r="F885" s="17"/>
      <c r="M885" s="17"/>
      <c r="S885" s="17"/>
      <c r="U885" s="4"/>
      <c r="X885" s="17"/>
      <c r="Z885" s="21"/>
      <c r="AA885" s="5"/>
    </row>
    <row r="886" spans="3:27" x14ac:dyDescent="0.25">
      <c r="C886" s="10"/>
      <c r="F886" s="17"/>
      <c r="M886" s="17"/>
      <c r="S886" s="17"/>
      <c r="U886" s="4"/>
      <c r="X886" s="17"/>
      <c r="Z886" s="21"/>
      <c r="AA886" s="5"/>
    </row>
    <row r="887" spans="3:27" x14ac:dyDescent="0.25">
      <c r="C887" s="10"/>
      <c r="F887" s="17"/>
      <c r="M887" s="17"/>
      <c r="S887" s="17"/>
      <c r="U887" s="4"/>
      <c r="X887" s="17"/>
      <c r="Z887" s="21"/>
      <c r="AA887" s="5"/>
    </row>
    <row r="888" spans="3:27" x14ac:dyDescent="0.25">
      <c r="C888" s="10"/>
      <c r="F888" s="17"/>
      <c r="M888" s="17"/>
      <c r="S888" s="17"/>
      <c r="U888" s="4"/>
      <c r="X888" s="17"/>
      <c r="Z888" s="21"/>
      <c r="AA888" s="5"/>
    </row>
    <row r="889" spans="3:27" x14ac:dyDescent="0.25">
      <c r="C889" s="10"/>
      <c r="F889" s="17"/>
      <c r="M889" s="17"/>
      <c r="S889" s="17"/>
      <c r="U889" s="4"/>
      <c r="X889" s="17"/>
      <c r="Z889" s="21"/>
      <c r="AA889" s="5"/>
    </row>
    <row r="890" spans="3:27" x14ac:dyDescent="0.25">
      <c r="C890" s="10"/>
      <c r="F890" s="17"/>
      <c r="M890" s="17"/>
      <c r="S890" s="17"/>
      <c r="U890" s="4"/>
      <c r="X890" s="17"/>
      <c r="Z890" s="21"/>
      <c r="AA890" s="5"/>
    </row>
    <row r="891" spans="3:27" x14ac:dyDescent="0.25">
      <c r="C891" s="10"/>
      <c r="F891" s="17"/>
      <c r="M891" s="17"/>
      <c r="S891" s="17"/>
      <c r="U891" s="4"/>
      <c r="X891" s="17"/>
      <c r="Z891" s="21"/>
      <c r="AA891" s="5"/>
    </row>
    <row r="892" spans="3:27" x14ac:dyDescent="0.25">
      <c r="C892" s="10"/>
      <c r="F892" s="17"/>
      <c r="M892" s="17"/>
      <c r="S892" s="17"/>
      <c r="U892" s="4"/>
      <c r="X892" s="17"/>
      <c r="Z892" s="21"/>
      <c r="AA892" s="5"/>
    </row>
    <row r="893" spans="3:27" x14ac:dyDescent="0.25">
      <c r="C893" s="10"/>
      <c r="F893" s="17"/>
      <c r="M893" s="17"/>
      <c r="S893" s="17"/>
      <c r="U893" s="4"/>
      <c r="X893" s="17"/>
      <c r="Z893" s="21"/>
      <c r="AA893" s="5"/>
    </row>
    <row r="894" spans="3:27" x14ac:dyDescent="0.25">
      <c r="C894" s="10"/>
      <c r="F894" s="17"/>
      <c r="M894" s="17"/>
      <c r="S894" s="17"/>
      <c r="U894" s="4"/>
      <c r="X894" s="17"/>
      <c r="Z894" s="21"/>
      <c r="AA894" s="5"/>
    </row>
    <row r="895" spans="3:27" x14ac:dyDescent="0.25">
      <c r="C895" s="10"/>
      <c r="F895" s="17"/>
      <c r="M895" s="17"/>
      <c r="S895" s="17"/>
      <c r="U895" s="4"/>
      <c r="X895" s="17"/>
      <c r="Z895" s="21"/>
      <c r="AA895" s="5"/>
    </row>
    <row r="896" spans="3:27" x14ac:dyDescent="0.25">
      <c r="C896" s="10"/>
      <c r="F896" s="17"/>
      <c r="M896" s="17"/>
      <c r="S896" s="17"/>
      <c r="U896" s="4"/>
      <c r="X896" s="17"/>
      <c r="Z896" s="21"/>
      <c r="AA896" s="5"/>
    </row>
    <row r="897" spans="3:27" x14ac:dyDescent="0.25">
      <c r="C897" s="10"/>
      <c r="F897" s="17"/>
      <c r="M897" s="17"/>
      <c r="S897" s="17"/>
      <c r="U897" s="4"/>
      <c r="X897" s="17"/>
      <c r="Z897" s="21"/>
      <c r="AA897" s="5"/>
    </row>
    <row r="898" spans="3:27" x14ac:dyDescent="0.25">
      <c r="C898" s="10"/>
      <c r="F898" s="17"/>
      <c r="M898" s="17"/>
      <c r="S898" s="17"/>
      <c r="U898" s="4"/>
      <c r="X898" s="17"/>
      <c r="Z898" s="21"/>
      <c r="AA898" s="5"/>
    </row>
    <row r="899" spans="3:27" x14ac:dyDescent="0.25">
      <c r="C899" s="10"/>
      <c r="F899" s="17"/>
      <c r="M899" s="17"/>
      <c r="S899" s="17"/>
      <c r="U899" s="4"/>
      <c r="X899" s="17"/>
      <c r="Z899" s="21"/>
      <c r="AA899" s="5"/>
    </row>
    <row r="900" spans="3:27" x14ac:dyDescent="0.25">
      <c r="C900" s="10"/>
      <c r="F900" s="17"/>
      <c r="M900" s="17"/>
      <c r="S900" s="17"/>
      <c r="U900" s="4"/>
      <c r="X900" s="17"/>
      <c r="Z900" s="21"/>
      <c r="AA900" s="5"/>
    </row>
    <row r="901" spans="3:27" x14ac:dyDescent="0.25">
      <c r="C901" s="10"/>
      <c r="F901" s="17"/>
      <c r="M901" s="17"/>
      <c r="S901" s="17"/>
      <c r="U901" s="4"/>
      <c r="X901" s="17"/>
      <c r="Z901" s="21"/>
      <c r="AA901" s="5"/>
    </row>
    <row r="902" spans="3:27" x14ac:dyDescent="0.25">
      <c r="C902" s="10"/>
      <c r="F902" s="17"/>
      <c r="M902" s="17"/>
      <c r="S902" s="17"/>
      <c r="U902" s="4"/>
      <c r="X902" s="17"/>
      <c r="Z902" s="21"/>
      <c r="AA902" s="5"/>
    </row>
    <row r="903" spans="3:27" x14ac:dyDescent="0.25">
      <c r="C903" s="10"/>
      <c r="F903" s="17"/>
      <c r="M903" s="17"/>
      <c r="S903" s="17"/>
      <c r="U903" s="4"/>
      <c r="X903" s="17"/>
      <c r="Z903" s="21"/>
      <c r="AA903" s="5"/>
    </row>
    <row r="904" spans="3:27" x14ac:dyDescent="0.25">
      <c r="C904" s="10"/>
      <c r="F904" s="17"/>
      <c r="M904" s="17"/>
      <c r="S904" s="17"/>
      <c r="U904" s="4"/>
      <c r="X904" s="17"/>
      <c r="Z904" s="21"/>
      <c r="AA904" s="5"/>
    </row>
    <row r="905" spans="3:27" x14ac:dyDescent="0.25">
      <c r="C905" s="10"/>
      <c r="F905" s="17"/>
      <c r="M905" s="17"/>
      <c r="S905" s="17"/>
      <c r="U905" s="4"/>
      <c r="X905" s="17"/>
      <c r="Z905" s="21"/>
      <c r="AA905" s="5"/>
    </row>
    <row r="906" spans="3:27" x14ac:dyDescent="0.25">
      <c r="C906" s="10"/>
      <c r="F906" s="17"/>
      <c r="M906" s="17"/>
      <c r="S906" s="17"/>
      <c r="U906" s="4"/>
      <c r="X906" s="17"/>
      <c r="Z906" s="21"/>
      <c r="AA906" s="5"/>
    </row>
    <row r="907" spans="3:27" x14ac:dyDescent="0.25">
      <c r="C907" s="10"/>
      <c r="F907" s="17"/>
      <c r="M907" s="17"/>
      <c r="S907" s="17"/>
      <c r="U907" s="4"/>
      <c r="X907" s="17"/>
      <c r="Z907" s="21"/>
      <c r="AA907" s="5"/>
    </row>
    <row r="908" spans="3:27" x14ac:dyDescent="0.25">
      <c r="C908" s="10"/>
      <c r="F908" s="17"/>
      <c r="M908" s="17"/>
      <c r="S908" s="17"/>
      <c r="U908" s="4"/>
      <c r="X908" s="17"/>
      <c r="Z908" s="21"/>
      <c r="AA908" s="5"/>
    </row>
    <row r="909" spans="3:27" x14ac:dyDescent="0.25">
      <c r="C909" s="10"/>
      <c r="F909" s="17"/>
      <c r="M909" s="17"/>
      <c r="S909" s="17"/>
      <c r="U909" s="4"/>
      <c r="X909" s="17"/>
      <c r="Z909" s="21"/>
      <c r="AA909" s="5"/>
    </row>
    <row r="910" spans="3:27" x14ac:dyDescent="0.25">
      <c r="C910" s="10"/>
      <c r="F910" s="17"/>
      <c r="M910" s="17"/>
      <c r="S910" s="17"/>
      <c r="U910" s="4"/>
      <c r="X910" s="17"/>
      <c r="Z910" s="21"/>
      <c r="AA910" s="5"/>
    </row>
    <row r="911" spans="3:27" x14ac:dyDescent="0.25">
      <c r="C911" s="10"/>
      <c r="F911" s="17"/>
      <c r="M911" s="17"/>
      <c r="S911" s="17"/>
      <c r="U911" s="4"/>
      <c r="X911" s="17"/>
      <c r="Z911" s="21"/>
      <c r="AA911" s="5"/>
    </row>
    <row r="912" spans="3:27" x14ac:dyDescent="0.25">
      <c r="C912" s="10"/>
      <c r="F912" s="17"/>
      <c r="M912" s="17"/>
      <c r="S912" s="17"/>
      <c r="U912" s="4"/>
      <c r="X912" s="17"/>
      <c r="Z912" s="21"/>
      <c r="AA912" s="5"/>
    </row>
    <row r="913" spans="3:27" x14ac:dyDescent="0.25">
      <c r="C913" s="10"/>
      <c r="F913" s="17"/>
      <c r="M913" s="17"/>
      <c r="S913" s="17"/>
      <c r="U913" s="4"/>
      <c r="X913" s="17"/>
      <c r="Z913" s="21"/>
      <c r="AA913" s="5"/>
    </row>
    <row r="914" spans="3:27" x14ac:dyDescent="0.25">
      <c r="C914" s="10"/>
      <c r="F914" s="17"/>
      <c r="M914" s="17"/>
      <c r="S914" s="17"/>
      <c r="U914" s="4"/>
      <c r="X914" s="17"/>
      <c r="Z914" s="21"/>
      <c r="AA914" s="5"/>
    </row>
    <row r="915" spans="3:27" x14ac:dyDescent="0.25">
      <c r="C915" s="10"/>
      <c r="F915" s="17"/>
      <c r="M915" s="17"/>
      <c r="S915" s="17"/>
      <c r="U915" s="4"/>
      <c r="X915" s="17"/>
      <c r="Z915" s="21"/>
      <c r="AA915" s="5"/>
    </row>
    <row r="916" spans="3:27" x14ac:dyDescent="0.25">
      <c r="C916" s="10"/>
      <c r="F916" s="17"/>
      <c r="M916" s="17"/>
      <c r="S916" s="17"/>
      <c r="U916" s="4"/>
      <c r="X916" s="17"/>
      <c r="Z916" s="21"/>
      <c r="AA916" s="5"/>
    </row>
    <row r="917" spans="3:27" x14ac:dyDescent="0.25">
      <c r="C917" s="10"/>
      <c r="F917" s="17"/>
      <c r="M917" s="17"/>
      <c r="S917" s="17"/>
      <c r="U917" s="4"/>
      <c r="X917" s="17"/>
      <c r="Z917" s="21"/>
      <c r="AA917" s="5"/>
    </row>
    <row r="918" spans="3:27" x14ac:dyDescent="0.25">
      <c r="C918" s="10"/>
      <c r="F918" s="17"/>
      <c r="M918" s="17"/>
      <c r="S918" s="17"/>
      <c r="U918" s="4"/>
      <c r="X918" s="17"/>
      <c r="Z918" s="21"/>
      <c r="AA918" s="5"/>
    </row>
    <row r="919" spans="3:27" x14ac:dyDescent="0.25">
      <c r="C919" s="10"/>
      <c r="F919" s="17"/>
      <c r="M919" s="17"/>
      <c r="S919" s="17"/>
      <c r="U919" s="4"/>
      <c r="X919" s="17"/>
      <c r="Z919" s="21"/>
      <c r="AA919" s="5"/>
    </row>
    <row r="920" spans="3:27" x14ac:dyDescent="0.25">
      <c r="C920" s="10"/>
      <c r="F920" s="17"/>
      <c r="M920" s="17"/>
      <c r="S920" s="17"/>
      <c r="U920" s="4"/>
      <c r="X920" s="17"/>
      <c r="Z920" s="21"/>
      <c r="AA920" s="5"/>
    </row>
    <row r="921" spans="3:27" x14ac:dyDescent="0.25">
      <c r="C921" s="10"/>
      <c r="F921" s="17"/>
      <c r="M921" s="17"/>
      <c r="S921" s="17"/>
      <c r="U921" s="4"/>
      <c r="X921" s="17"/>
      <c r="Z921" s="21"/>
      <c r="AA921" s="5"/>
    </row>
    <row r="922" spans="3:27" x14ac:dyDescent="0.25">
      <c r="C922" s="10"/>
      <c r="F922" s="17"/>
      <c r="M922" s="17"/>
      <c r="S922" s="17"/>
      <c r="U922" s="4"/>
      <c r="X922" s="17"/>
      <c r="Z922" s="21"/>
      <c r="AA922" s="5"/>
    </row>
    <row r="923" spans="3:27" x14ac:dyDescent="0.25">
      <c r="C923" s="10"/>
      <c r="F923" s="17"/>
      <c r="M923" s="17"/>
      <c r="S923" s="17"/>
      <c r="U923" s="4"/>
      <c r="X923" s="17"/>
      <c r="Z923" s="21"/>
      <c r="AA923" s="5"/>
    </row>
    <row r="924" spans="3:27" x14ac:dyDescent="0.25">
      <c r="C924" s="10"/>
      <c r="F924" s="17"/>
      <c r="M924" s="17"/>
      <c r="S924" s="17"/>
      <c r="U924" s="4"/>
      <c r="X924" s="17"/>
      <c r="Z924" s="21"/>
      <c r="AA924" s="5"/>
    </row>
    <row r="925" spans="3:27" x14ac:dyDescent="0.25">
      <c r="C925" s="10"/>
      <c r="F925" s="17"/>
      <c r="M925" s="17"/>
      <c r="S925" s="17"/>
      <c r="U925" s="4"/>
      <c r="X925" s="17"/>
      <c r="Z925" s="21"/>
      <c r="AA925" s="5"/>
    </row>
    <row r="926" spans="3:27" x14ac:dyDescent="0.25">
      <c r="C926" s="10"/>
      <c r="F926" s="17"/>
      <c r="M926" s="17"/>
      <c r="S926" s="17"/>
      <c r="U926" s="4"/>
      <c r="X926" s="17"/>
      <c r="Z926" s="21"/>
      <c r="AA926" s="5"/>
    </row>
    <row r="927" spans="3:27" x14ac:dyDescent="0.25">
      <c r="C927" s="10"/>
      <c r="F927" s="17"/>
      <c r="M927" s="17"/>
      <c r="S927" s="17"/>
      <c r="U927" s="4"/>
      <c r="X927" s="17"/>
      <c r="Z927" s="21"/>
      <c r="AA927" s="5"/>
    </row>
    <row r="928" spans="3:27" x14ac:dyDescent="0.25">
      <c r="C928" s="10"/>
      <c r="F928" s="17"/>
      <c r="M928" s="17"/>
      <c r="S928" s="17"/>
      <c r="U928" s="4"/>
      <c r="X928" s="17"/>
      <c r="Z928" s="21"/>
      <c r="AA928" s="5"/>
    </row>
    <row r="929" spans="3:27" x14ac:dyDescent="0.25">
      <c r="C929" s="10"/>
      <c r="F929" s="17"/>
      <c r="M929" s="17"/>
      <c r="S929" s="17"/>
      <c r="U929" s="4"/>
      <c r="X929" s="17"/>
      <c r="Z929" s="21"/>
      <c r="AA929" s="5"/>
    </row>
    <row r="930" spans="3:27" x14ac:dyDescent="0.25">
      <c r="C930" s="10"/>
      <c r="F930" s="17"/>
      <c r="M930" s="17"/>
      <c r="S930" s="17"/>
      <c r="U930" s="4"/>
      <c r="X930" s="17"/>
      <c r="Z930" s="21"/>
      <c r="AA930" s="5"/>
    </row>
    <row r="931" spans="3:27" x14ac:dyDescent="0.25">
      <c r="C931" s="10"/>
      <c r="F931" s="17"/>
      <c r="M931" s="17"/>
      <c r="S931" s="17"/>
      <c r="U931" s="4"/>
      <c r="X931" s="17"/>
      <c r="Z931" s="21"/>
      <c r="AA931" s="5"/>
    </row>
    <row r="932" spans="3:27" x14ac:dyDescent="0.25">
      <c r="C932" s="10"/>
      <c r="F932" s="17"/>
      <c r="M932" s="17"/>
      <c r="S932" s="17"/>
      <c r="U932" s="4"/>
      <c r="X932" s="17"/>
      <c r="Z932" s="21"/>
      <c r="AA932" s="5"/>
    </row>
    <row r="933" spans="3:27" x14ac:dyDescent="0.25">
      <c r="C933" s="10"/>
      <c r="F933" s="17"/>
      <c r="M933" s="17"/>
      <c r="S933" s="17"/>
      <c r="U933" s="4"/>
      <c r="X933" s="17"/>
      <c r="Z933" s="21"/>
      <c r="AA933" s="5"/>
    </row>
    <row r="934" spans="3:27" x14ac:dyDescent="0.25">
      <c r="C934" s="10"/>
      <c r="F934" s="17"/>
      <c r="M934" s="17"/>
      <c r="S934" s="17"/>
      <c r="U934" s="4"/>
      <c r="X934" s="17"/>
      <c r="Z934" s="21"/>
      <c r="AA934" s="5"/>
    </row>
    <row r="935" spans="3:27" x14ac:dyDescent="0.25">
      <c r="C935" s="10"/>
      <c r="F935" s="17"/>
      <c r="M935" s="17"/>
      <c r="S935" s="17"/>
      <c r="U935" s="4"/>
      <c r="X935" s="17"/>
      <c r="Z935" s="21"/>
      <c r="AA935" s="5"/>
    </row>
    <row r="936" spans="3:27" x14ac:dyDescent="0.25">
      <c r="C936" s="10"/>
      <c r="F936" s="17"/>
      <c r="M936" s="17"/>
      <c r="S936" s="17"/>
      <c r="U936" s="4"/>
      <c r="X936" s="17"/>
      <c r="Z936" s="21"/>
      <c r="AA936" s="5"/>
    </row>
    <row r="937" spans="3:27" x14ac:dyDescent="0.25">
      <c r="C937" s="10"/>
      <c r="F937" s="17"/>
      <c r="M937" s="17"/>
      <c r="S937" s="17"/>
      <c r="U937" s="4"/>
      <c r="X937" s="17"/>
      <c r="Z937" s="21"/>
      <c r="AA937" s="5"/>
    </row>
    <row r="938" spans="3:27" x14ac:dyDescent="0.25">
      <c r="C938" s="10"/>
      <c r="F938" s="17"/>
      <c r="M938" s="17"/>
      <c r="S938" s="17"/>
      <c r="U938" s="4"/>
      <c r="X938" s="17"/>
      <c r="Z938" s="21"/>
      <c r="AA938" s="5"/>
    </row>
    <row r="939" spans="3:27" x14ac:dyDescent="0.25">
      <c r="C939" s="10"/>
      <c r="F939" s="17"/>
      <c r="M939" s="17"/>
      <c r="S939" s="17"/>
      <c r="U939" s="4"/>
      <c r="X939" s="17"/>
      <c r="Z939" s="21"/>
      <c r="AA939" s="5"/>
    </row>
    <row r="940" spans="3:27" x14ac:dyDescent="0.25">
      <c r="C940" s="10"/>
      <c r="F940" s="17"/>
      <c r="M940" s="17"/>
      <c r="S940" s="17"/>
      <c r="U940" s="4"/>
      <c r="X940" s="17"/>
      <c r="Z940" s="21"/>
      <c r="AA940" s="5"/>
    </row>
    <row r="941" spans="3:27" x14ac:dyDescent="0.25">
      <c r="C941" s="10"/>
      <c r="F941" s="17"/>
      <c r="M941" s="17"/>
      <c r="S941" s="17"/>
      <c r="U941" s="4"/>
      <c r="X941" s="17"/>
      <c r="Z941" s="21"/>
      <c r="AA941" s="5"/>
    </row>
    <row r="942" spans="3:27" x14ac:dyDescent="0.25">
      <c r="C942" s="10"/>
      <c r="F942" s="17"/>
      <c r="M942" s="17"/>
      <c r="S942" s="17"/>
      <c r="U942" s="4"/>
      <c r="X942" s="17"/>
      <c r="Z942" s="21"/>
      <c r="AA942" s="5"/>
    </row>
    <row r="943" spans="3:27" x14ac:dyDescent="0.25">
      <c r="C943" s="10"/>
      <c r="F943" s="17"/>
      <c r="M943" s="17"/>
      <c r="S943" s="17"/>
      <c r="U943" s="4"/>
      <c r="X943" s="17"/>
      <c r="Z943" s="21"/>
      <c r="AA943" s="5"/>
    </row>
    <row r="944" spans="3:27" x14ac:dyDescent="0.25">
      <c r="C944" s="10"/>
      <c r="F944" s="17"/>
      <c r="M944" s="17"/>
      <c r="S944" s="17"/>
      <c r="U944" s="4"/>
      <c r="X944" s="17"/>
      <c r="Z944" s="21"/>
      <c r="AA944" s="5"/>
    </row>
    <row r="945" spans="3:27" x14ac:dyDescent="0.25">
      <c r="C945" s="10"/>
      <c r="F945" s="17"/>
      <c r="M945" s="17"/>
      <c r="S945" s="17"/>
      <c r="U945" s="4"/>
      <c r="X945" s="17"/>
      <c r="Z945" s="21"/>
      <c r="AA945" s="5"/>
    </row>
    <row r="946" spans="3:27" x14ac:dyDescent="0.25">
      <c r="C946" s="10"/>
      <c r="F946" s="17"/>
      <c r="M946" s="17"/>
      <c r="S946" s="17"/>
      <c r="U946" s="4"/>
      <c r="X946" s="17"/>
      <c r="Z946" s="21"/>
      <c r="AA946" s="5"/>
    </row>
    <row r="947" spans="3:27" x14ac:dyDescent="0.25">
      <c r="C947" s="10"/>
      <c r="F947" s="17"/>
      <c r="M947" s="17"/>
      <c r="S947" s="17"/>
      <c r="U947" s="4"/>
      <c r="X947" s="17"/>
      <c r="Z947" s="21"/>
      <c r="AA947" s="5"/>
    </row>
    <row r="948" spans="3:27" x14ac:dyDescent="0.25">
      <c r="C948" s="10"/>
      <c r="F948" s="17"/>
      <c r="M948" s="17"/>
      <c r="S948" s="17"/>
      <c r="U948" s="4"/>
      <c r="X948" s="17"/>
      <c r="Z948" s="21"/>
      <c r="AA948" s="5"/>
    </row>
    <row r="949" spans="3:27" x14ac:dyDescent="0.25">
      <c r="C949" s="10"/>
      <c r="F949" s="17"/>
      <c r="M949" s="17"/>
      <c r="S949" s="17"/>
      <c r="U949" s="4"/>
      <c r="X949" s="17"/>
      <c r="Z949" s="21"/>
      <c r="AA949" s="5"/>
    </row>
    <row r="950" spans="3:27" x14ac:dyDescent="0.25">
      <c r="C950" s="10"/>
      <c r="F950" s="17"/>
      <c r="M950" s="17"/>
      <c r="S950" s="17"/>
      <c r="U950" s="4"/>
      <c r="X950" s="17"/>
      <c r="Z950" s="21"/>
      <c r="AA950" s="5"/>
    </row>
    <row r="951" spans="3:27" x14ac:dyDescent="0.25">
      <c r="C951" s="10"/>
      <c r="F951" s="17"/>
      <c r="M951" s="17"/>
      <c r="S951" s="17"/>
      <c r="U951" s="4"/>
      <c r="X951" s="17"/>
      <c r="Z951" s="21"/>
      <c r="AA951" s="5"/>
    </row>
    <row r="952" spans="3:27" x14ac:dyDescent="0.25">
      <c r="C952" s="10"/>
      <c r="F952" s="17"/>
      <c r="M952" s="17"/>
      <c r="S952" s="17"/>
      <c r="U952" s="4"/>
      <c r="X952" s="17"/>
      <c r="Z952" s="21"/>
      <c r="AA952" s="5"/>
    </row>
    <row r="953" spans="3:27" x14ac:dyDescent="0.25">
      <c r="C953" s="10"/>
      <c r="F953" s="17"/>
      <c r="M953" s="17"/>
      <c r="S953" s="17"/>
      <c r="U953" s="4"/>
      <c r="X953" s="17"/>
      <c r="Z953" s="21"/>
      <c r="AA953" s="5"/>
    </row>
    <row r="954" spans="3:27" x14ac:dyDescent="0.25">
      <c r="C954" s="10"/>
      <c r="F954" s="17"/>
      <c r="M954" s="17"/>
      <c r="S954" s="17"/>
      <c r="U954" s="4"/>
      <c r="X954" s="17"/>
      <c r="Z954" s="21"/>
      <c r="AA954" s="5"/>
    </row>
    <row r="955" spans="3:27" x14ac:dyDescent="0.25">
      <c r="C955" s="10"/>
      <c r="F955" s="17"/>
      <c r="M955" s="17"/>
      <c r="S955" s="17"/>
      <c r="U955" s="4"/>
      <c r="X955" s="17"/>
      <c r="Z955" s="21"/>
      <c r="AA955" s="5"/>
    </row>
    <row r="956" spans="3:27" x14ac:dyDescent="0.25">
      <c r="C956" s="10"/>
      <c r="F956" s="17"/>
      <c r="M956" s="17"/>
      <c r="S956" s="17"/>
      <c r="U956" s="4"/>
      <c r="X956" s="17"/>
      <c r="Z956" s="21"/>
      <c r="AA956" s="5"/>
    </row>
    <row r="957" spans="3:27" x14ac:dyDescent="0.25">
      <c r="C957" s="10"/>
      <c r="F957" s="17"/>
      <c r="M957" s="17"/>
      <c r="S957" s="17"/>
      <c r="U957" s="4"/>
      <c r="X957" s="17"/>
      <c r="Z957" s="21"/>
      <c r="AA957" s="5"/>
    </row>
    <row r="958" spans="3:27" x14ac:dyDescent="0.25">
      <c r="C958" s="10"/>
      <c r="F958" s="17"/>
      <c r="M958" s="17"/>
      <c r="S958" s="17"/>
      <c r="U958" s="4"/>
      <c r="X958" s="17"/>
      <c r="Z958" s="21"/>
      <c r="AA958" s="5"/>
    </row>
    <row r="959" spans="3:27" x14ac:dyDescent="0.25">
      <c r="C959" s="10"/>
      <c r="F959" s="17"/>
      <c r="M959" s="17"/>
      <c r="S959" s="17"/>
      <c r="U959" s="4"/>
      <c r="X959" s="17"/>
      <c r="Z959" s="21"/>
      <c r="AA959" s="5"/>
    </row>
    <row r="960" spans="3:27" x14ac:dyDescent="0.25">
      <c r="C960" s="10"/>
      <c r="F960" s="17"/>
      <c r="M960" s="17"/>
      <c r="S960" s="17"/>
      <c r="U960" s="4"/>
      <c r="X960" s="17"/>
      <c r="Z960" s="21"/>
      <c r="AA960" s="5"/>
    </row>
    <row r="961" spans="3:27" x14ac:dyDescent="0.25">
      <c r="C961" s="10"/>
      <c r="F961" s="17"/>
      <c r="M961" s="17"/>
      <c r="S961" s="17"/>
      <c r="U961" s="4"/>
      <c r="X961" s="17"/>
      <c r="Z961" s="21"/>
      <c r="AA961" s="5"/>
    </row>
    <row r="962" spans="3:27" x14ac:dyDescent="0.25">
      <c r="C962" s="10"/>
      <c r="F962" s="17"/>
      <c r="M962" s="17"/>
      <c r="S962" s="17"/>
      <c r="U962" s="4"/>
      <c r="X962" s="17"/>
      <c r="Z962" s="21"/>
      <c r="AA962" s="5"/>
    </row>
    <row r="963" spans="3:27" x14ac:dyDescent="0.25">
      <c r="C963" s="10"/>
      <c r="F963" s="17"/>
      <c r="M963" s="17"/>
      <c r="S963" s="17"/>
      <c r="U963" s="4"/>
      <c r="X963" s="17"/>
      <c r="Z963" s="21"/>
      <c r="AA963" s="5"/>
    </row>
    <row r="964" spans="3:27" x14ac:dyDescent="0.25">
      <c r="C964" s="10"/>
      <c r="F964" s="17"/>
      <c r="M964" s="17"/>
      <c r="S964" s="17"/>
      <c r="U964" s="4"/>
      <c r="X964" s="17"/>
      <c r="Z964" s="21"/>
      <c r="AA964" s="5"/>
    </row>
    <row r="965" spans="3:27" x14ac:dyDescent="0.25">
      <c r="C965" s="10"/>
      <c r="F965" s="17"/>
      <c r="M965" s="17"/>
      <c r="S965" s="17"/>
      <c r="U965" s="4"/>
      <c r="X965" s="17"/>
      <c r="Z965" s="21"/>
      <c r="AA965" s="5"/>
    </row>
    <row r="966" spans="3:27" x14ac:dyDescent="0.25">
      <c r="C966" s="10"/>
      <c r="F966" s="17"/>
      <c r="M966" s="17"/>
      <c r="S966" s="17"/>
      <c r="U966" s="4"/>
      <c r="X966" s="17"/>
      <c r="Z966" s="21"/>
      <c r="AA966" s="5"/>
    </row>
    <row r="967" spans="3:27" x14ac:dyDescent="0.25">
      <c r="C967" s="10"/>
      <c r="F967" s="17"/>
      <c r="M967" s="17"/>
      <c r="S967" s="17"/>
      <c r="U967" s="4"/>
      <c r="X967" s="17"/>
      <c r="Z967" s="21"/>
      <c r="AA967" s="5"/>
    </row>
    <row r="968" spans="3:27" x14ac:dyDescent="0.25">
      <c r="C968" s="10"/>
      <c r="F968" s="17"/>
      <c r="M968" s="17"/>
      <c r="S968" s="17"/>
      <c r="U968" s="4"/>
      <c r="X968" s="17"/>
      <c r="Z968" s="21"/>
      <c r="AA968" s="5"/>
    </row>
    <row r="969" spans="3:27" x14ac:dyDescent="0.25">
      <c r="C969" s="10"/>
      <c r="F969" s="17"/>
      <c r="M969" s="17"/>
      <c r="S969" s="17"/>
      <c r="U969" s="4"/>
      <c r="X969" s="17"/>
      <c r="Z969" s="21"/>
      <c r="AA969" s="5"/>
    </row>
    <row r="970" spans="3:27" x14ac:dyDescent="0.25">
      <c r="C970" s="10"/>
      <c r="F970" s="17"/>
      <c r="M970" s="17"/>
      <c r="S970" s="17"/>
      <c r="U970" s="4"/>
      <c r="X970" s="17"/>
      <c r="Z970" s="21"/>
      <c r="AA970" s="5"/>
    </row>
    <row r="971" spans="3:27" x14ac:dyDescent="0.25">
      <c r="C971" s="10"/>
      <c r="F971" s="17"/>
      <c r="M971" s="17"/>
      <c r="S971" s="17"/>
      <c r="U971" s="4"/>
      <c r="X971" s="17"/>
      <c r="Z971" s="21"/>
      <c r="AA971" s="5"/>
    </row>
    <row r="972" spans="3:27" x14ac:dyDescent="0.25">
      <c r="C972" s="10"/>
      <c r="F972" s="17"/>
      <c r="M972" s="17"/>
      <c r="S972" s="17"/>
      <c r="U972" s="4"/>
      <c r="X972" s="17"/>
      <c r="Z972" s="21"/>
      <c r="AA972" s="5"/>
    </row>
    <row r="973" spans="3:27" x14ac:dyDescent="0.25">
      <c r="C973" s="10"/>
      <c r="F973" s="17"/>
      <c r="M973" s="17"/>
      <c r="S973" s="17"/>
      <c r="U973" s="4"/>
      <c r="X973" s="17"/>
      <c r="Z973" s="21"/>
      <c r="AA973" s="5"/>
    </row>
    <row r="974" spans="3:27" x14ac:dyDescent="0.25">
      <c r="C974" s="10"/>
      <c r="F974" s="17"/>
      <c r="M974" s="17"/>
      <c r="S974" s="17"/>
      <c r="U974" s="4"/>
      <c r="X974" s="17"/>
      <c r="Z974" s="21"/>
      <c r="AA974" s="5"/>
    </row>
    <row r="975" spans="3:27" x14ac:dyDescent="0.25">
      <c r="C975" s="10"/>
      <c r="F975" s="17"/>
      <c r="M975" s="17"/>
      <c r="S975" s="17"/>
      <c r="U975" s="4"/>
      <c r="X975" s="17"/>
      <c r="Z975" s="21"/>
      <c r="AA975" s="5"/>
    </row>
    <row r="976" spans="3:27" x14ac:dyDescent="0.25">
      <c r="C976" s="10"/>
      <c r="F976" s="17"/>
      <c r="M976" s="17"/>
      <c r="S976" s="17"/>
      <c r="U976" s="4"/>
      <c r="X976" s="17"/>
      <c r="Z976" s="21"/>
      <c r="AA976" s="5"/>
    </row>
    <row r="977" spans="3:27" x14ac:dyDescent="0.25">
      <c r="C977" s="10"/>
      <c r="F977" s="17"/>
      <c r="M977" s="17"/>
      <c r="S977" s="17"/>
      <c r="U977" s="4"/>
      <c r="X977" s="17"/>
      <c r="Z977" s="21"/>
      <c r="AA977" s="5"/>
    </row>
    <row r="978" spans="3:27" x14ac:dyDescent="0.25">
      <c r="C978" s="10"/>
      <c r="F978" s="17"/>
      <c r="M978" s="17"/>
      <c r="S978" s="17"/>
      <c r="U978" s="4"/>
      <c r="X978" s="17"/>
      <c r="Z978" s="21"/>
      <c r="AA978" s="5"/>
    </row>
    <row r="979" spans="3:27" x14ac:dyDescent="0.25">
      <c r="C979" s="10"/>
      <c r="F979" s="17"/>
      <c r="M979" s="17"/>
      <c r="S979" s="17"/>
      <c r="U979" s="4"/>
      <c r="X979" s="17"/>
      <c r="Z979" s="21"/>
      <c r="AA979" s="5"/>
    </row>
    <row r="980" spans="3:27" x14ac:dyDescent="0.25">
      <c r="C980" s="10"/>
      <c r="F980" s="17"/>
      <c r="M980" s="17"/>
      <c r="S980" s="17"/>
      <c r="U980" s="4"/>
      <c r="X980" s="17"/>
      <c r="Z980" s="21"/>
      <c r="AA980" s="5"/>
    </row>
    <row r="981" spans="3:27" x14ac:dyDescent="0.25">
      <c r="C981" s="10"/>
      <c r="F981" s="17"/>
      <c r="M981" s="17"/>
      <c r="S981" s="17"/>
      <c r="U981" s="4"/>
      <c r="X981" s="17"/>
      <c r="Z981" s="21"/>
      <c r="AA981" s="5"/>
    </row>
    <row r="982" spans="3:27" x14ac:dyDescent="0.25">
      <c r="C982" s="10"/>
      <c r="F982" s="17"/>
      <c r="M982" s="17"/>
      <c r="S982" s="17"/>
      <c r="U982" s="4"/>
      <c r="X982" s="17"/>
      <c r="Z982" s="21"/>
      <c r="AA982" s="5"/>
    </row>
    <row r="983" spans="3:27" x14ac:dyDescent="0.25">
      <c r="C983" s="10"/>
      <c r="F983" s="17"/>
      <c r="M983" s="17"/>
      <c r="S983" s="17"/>
      <c r="U983" s="4"/>
      <c r="X983" s="17"/>
      <c r="Z983" s="21"/>
      <c r="AA983" s="5"/>
    </row>
    <row r="984" spans="3:27" x14ac:dyDescent="0.25">
      <c r="C984" s="10"/>
      <c r="F984" s="17"/>
      <c r="M984" s="17"/>
      <c r="S984" s="17"/>
      <c r="U984" s="4"/>
      <c r="X984" s="17"/>
      <c r="Z984" s="21"/>
      <c r="AA984" s="5"/>
    </row>
    <row r="985" spans="3:27" x14ac:dyDescent="0.25">
      <c r="C985" s="10"/>
      <c r="F985" s="17"/>
      <c r="M985" s="17"/>
      <c r="S985" s="17"/>
      <c r="U985" s="4"/>
      <c r="X985" s="17"/>
      <c r="Z985" s="21"/>
      <c r="AA985" s="5"/>
    </row>
    <row r="986" spans="3:27" x14ac:dyDescent="0.25">
      <c r="C986" s="10"/>
      <c r="F986" s="17"/>
      <c r="M986" s="17"/>
      <c r="S986" s="17"/>
      <c r="U986" s="4"/>
      <c r="X986" s="17"/>
      <c r="Z986" s="21"/>
      <c r="AA986" s="5"/>
    </row>
    <row r="987" spans="3:27" x14ac:dyDescent="0.25">
      <c r="C987" s="10"/>
      <c r="F987" s="17"/>
      <c r="M987" s="17"/>
      <c r="S987" s="17"/>
      <c r="U987" s="4"/>
      <c r="X987" s="17"/>
      <c r="Z987" s="21"/>
      <c r="AA987" s="5"/>
    </row>
    <row r="988" spans="3:27" x14ac:dyDescent="0.25">
      <c r="C988" s="10"/>
      <c r="F988" s="17"/>
      <c r="M988" s="17"/>
      <c r="S988" s="17"/>
      <c r="U988" s="4"/>
      <c r="X988" s="17"/>
      <c r="Z988" s="21"/>
      <c r="AA988" s="5"/>
    </row>
    <row r="989" spans="3:27" x14ac:dyDescent="0.25">
      <c r="C989" s="10"/>
      <c r="F989" s="17"/>
      <c r="M989" s="17"/>
      <c r="S989" s="17"/>
      <c r="U989" s="4"/>
      <c r="X989" s="17"/>
      <c r="Z989" s="21"/>
      <c r="AA989" s="5"/>
    </row>
    <row r="990" spans="3:27" x14ac:dyDescent="0.25">
      <c r="C990" s="10"/>
      <c r="F990" s="17"/>
      <c r="M990" s="17"/>
      <c r="S990" s="17"/>
      <c r="U990" s="4"/>
      <c r="X990" s="17"/>
      <c r="Z990" s="21"/>
      <c r="AA990" s="5"/>
    </row>
    <row r="991" spans="3:27" x14ac:dyDescent="0.25">
      <c r="C991" s="10"/>
      <c r="F991" s="17"/>
      <c r="M991" s="17"/>
      <c r="S991" s="17"/>
      <c r="U991" s="4"/>
      <c r="X991" s="17"/>
      <c r="Z991" s="21"/>
      <c r="AA991" s="5"/>
    </row>
    <row r="992" spans="3:27" x14ac:dyDescent="0.25">
      <c r="C992" s="10"/>
      <c r="F992" s="17"/>
      <c r="M992" s="17"/>
      <c r="S992" s="17"/>
      <c r="U992" s="4"/>
      <c r="X992" s="17"/>
      <c r="Z992" s="21"/>
      <c r="AA992" s="5"/>
    </row>
    <row r="993" spans="3:27" x14ac:dyDescent="0.25">
      <c r="C993" s="10"/>
      <c r="F993" s="17"/>
      <c r="M993" s="17"/>
      <c r="S993" s="17"/>
      <c r="U993" s="4"/>
      <c r="X993" s="17"/>
      <c r="Z993" s="21"/>
      <c r="AA993" s="5"/>
    </row>
    <row r="994" spans="3:27" x14ac:dyDescent="0.25">
      <c r="C994" s="10"/>
      <c r="F994" s="17"/>
      <c r="M994" s="17"/>
      <c r="S994" s="17"/>
      <c r="U994" s="4"/>
      <c r="X994" s="17"/>
      <c r="Z994" s="21"/>
      <c r="AA994" s="5"/>
    </row>
    <row r="995" spans="3:27" x14ac:dyDescent="0.25">
      <c r="C995" s="10"/>
      <c r="F995" s="17"/>
      <c r="M995" s="17"/>
      <c r="S995" s="17"/>
      <c r="U995" s="4"/>
      <c r="X995" s="17"/>
      <c r="Z995" s="21"/>
      <c r="AA995" s="5"/>
    </row>
    <row r="996" spans="3:27" x14ac:dyDescent="0.25">
      <c r="C996" s="10"/>
      <c r="F996" s="17"/>
      <c r="M996" s="17"/>
      <c r="S996" s="17"/>
      <c r="U996" s="4"/>
      <c r="X996" s="17"/>
      <c r="Z996" s="21"/>
      <c r="AA996" s="5"/>
    </row>
    <row r="997" spans="3:27" x14ac:dyDescent="0.25">
      <c r="C997" s="10"/>
      <c r="F997" s="17"/>
      <c r="M997" s="17"/>
      <c r="S997" s="17"/>
      <c r="U997" s="4"/>
      <c r="X997" s="17"/>
      <c r="Z997" s="21"/>
      <c r="AA997" s="5"/>
    </row>
    <row r="998" spans="3:27" x14ac:dyDescent="0.25">
      <c r="C998" s="10"/>
      <c r="F998" s="17"/>
      <c r="M998" s="17"/>
      <c r="S998" s="17"/>
      <c r="U998" s="4"/>
      <c r="X998" s="17"/>
      <c r="Z998" s="21"/>
      <c r="AA998" s="5"/>
    </row>
    <row r="999" spans="3:27" x14ac:dyDescent="0.25">
      <c r="C999" s="10"/>
      <c r="F999" s="17"/>
      <c r="M999" s="17"/>
      <c r="S999" s="17"/>
      <c r="U999" s="4"/>
      <c r="X999" s="17"/>
      <c r="Z999" s="21"/>
      <c r="AA999" s="5"/>
    </row>
    <row r="1000" spans="3:27" x14ac:dyDescent="0.25">
      <c r="C1000" s="10"/>
      <c r="F1000" s="17"/>
      <c r="M1000" s="17"/>
      <c r="S1000" s="17"/>
      <c r="U1000" s="4"/>
      <c r="X1000" s="17"/>
      <c r="Z1000" s="21"/>
      <c r="AA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54C2-1C28-4066-9FCC-A63DA0557EC4}">
  <dimension ref="A1:E29"/>
  <sheetViews>
    <sheetView workbookViewId="0">
      <selection activeCell="F30" sqref="A1:F30"/>
    </sheetView>
  </sheetViews>
  <sheetFormatPr defaultRowHeight="13.2" x14ac:dyDescent="0.25"/>
  <cols>
    <col min="1" max="1" width="13.33203125" bestFit="1" customWidth="1"/>
    <col min="2" max="2" width="24.88671875" bestFit="1" customWidth="1"/>
    <col min="4" max="4" width="13.33203125" bestFit="1" customWidth="1"/>
    <col min="5" max="5" width="12.44140625" bestFit="1" customWidth="1"/>
    <col min="6" max="7" width="24.88671875" bestFit="1" customWidth="1"/>
  </cols>
  <sheetData>
    <row r="1" spans="1:5" x14ac:dyDescent="0.25">
      <c r="A1" s="26" t="s">
        <v>8</v>
      </c>
      <c r="B1" s="27">
        <f>SUM(supply_chain_data!F:F)</f>
        <v>577604.81873800792</v>
      </c>
    </row>
    <row r="2" spans="1:5" x14ac:dyDescent="0.25">
      <c r="A2" s="26" t="s">
        <v>11</v>
      </c>
      <c r="B2" s="27">
        <f>SUM(supply_chain_data!Y:Y)</f>
        <v>519398.75629084528</v>
      </c>
    </row>
    <row r="3" spans="1:5" x14ac:dyDescent="0.25">
      <c r="A3" s="26" t="s">
        <v>19</v>
      </c>
      <c r="B3" s="19">
        <f>100*(B2/B1)</f>
        <v>89.922857192511756</v>
      </c>
    </row>
    <row r="4" spans="1:5" x14ac:dyDescent="0.25">
      <c r="A4" s="26" t="s">
        <v>21</v>
      </c>
      <c r="B4" s="28">
        <f>AVERAGE(supply_chain_data!U:U)</f>
        <v>2.2771579927396073</v>
      </c>
    </row>
    <row r="5" spans="1:5" x14ac:dyDescent="0.25">
      <c r="A5" s="26" t="s">
        <v>23</v>
      </c>
      <c r="B5" s="15">
        <f>AVERAGE(supply_chain_data!P:P)</f>
        <v>17.079999999999998</v>
      </c>
    </row>
    <row r="8" spans="1:5" x14ac:dyDescent="0.25">
      <c r="A8" s="29" t="s">
        <v>162</v>
      </c>
      <c r="B8" t="s">
        <v>163</v>
      </c>
      <c r="D8" s="29" t="s">
        <v>162</v>
      </c>
      <c r="E8" t="s">
        <v>163</v>
      </c>
    </row>
    <row r="9" spans="1:5" x14ac:dyDescent="0.25">
      <c r="A9" s="30" t="s">
        <v>46</v>
      </c>
      <c r="B9" s="12">
        <v>157528.99503945635</v>
      </c>
      <c r="D9" s="30" t="s">
        <v>66</v>
      </c>
      <c r="E9" s="12">
        <v>161521.26599948306</v>
      </c>
    </row>
    <row r="10" spans="1:5" x14ac:dyDescent="0.25">
      <c r="A10" s="30" t="s">
        <v>62</v>
      </c>
      <c r="B10" s="12">
        <v>125467.41860530026</v>
      </c>
      <c r="D10" s="30" t="s">
        <v>31</v>
      </c>
      <c r="E10" s="12">
        <v>174455.39060546222</v>
      </c>
    </row>
    <row r="11" spans="1:5" x14ac:dyDescent="0.25">
      <c r="A11" s="30" t="s">
        <v>35</v>
      </c>
      <c r="B11" s="12">
        <v>97795.979638162171</v>
      </c>
      <c r="D11" s="30" t="s">
        <v>40</v>
      </c>
      <c r="E11" s="12">
        <v>241628.16213306302</v>
      </c>
    </row>
    <row r="12" spans="1:5" x14ac:dyDescent="0.25">
      <c r="A12" s="30" t="s">
        <v>59</v>
      </c>
      <c r="B12" s="12">
        <v>86468.961798802658</v>
      </c>
      <c r="D12" s="30" t="s">
        <v>64</v>
      </c>
      <c r="E12" s="12">
        <v>577604.81873800838</v>
      </c>
    </row>
    <row r="13" spans="1:5" x14ac:dyDescent="0.25">
      <c r="A13" s="30" t="s">
        <v>51</v>
      </c>
      <c r="B13" s="12">
        <v>110343.46365628684</v>
      </c>
    </row>
    <row r="14" spans="1:5" x14ac:dyDescent="0.25">
      <c r="A14" s="30" t="s">
        <v>64</v>
      </c>
      <c r="B14" s="12">
        <v>577604.81873800827</v>
      </c>
    </row>
    <row r="16" spans="1:5" x14ac:dyDescent="0.25">
      <c r="D16" s="29" t="s">
        <v>162</v>
      </c>
      <c r="E16" t="s">
        <v>164</v>
      </c>
    </row>
    <row r="17" spans="4:5" x14ac:dyDescent="0.25">
      <c r="D17" s="30" t="s">
        <v>66</v>
      </c>
      <c r="E17" s="25">
        <v>0.28278453119471514</v>
      </c>
    </row>
    <row r="18" spans="4:5" x14ac:dyDescent="0.25">
      <c r="D18" s="30" t="s">
        <v>31</v>
      </c>
      <c r="E18" s="25">
        <v>0.29895738168215286</v>
      </c>
    </row>
    <row r="19" spans="4:5" x14ac:dyDescent="0.25">
      <c r="D19" s="30" t="s">
        <v>40</v>
      </c>
      <c r="E19" s="25">
        <v>0.41825808712313201</v>
      </c>
    </row>
    <row r="20" spans="4:5" x14ac:dyDescent="0.25">
      <c r="D20" s="30" t="s">
        <v>64</v>
      </c>
      <c r="E20" s="25">
        <v>1</v>
      </c>
    </row>
    <row r="23" spans="4:5" x14ac:dyDescent="0.25">
      <c r="D23" s="29" t="s">
        <v>162</v>
      </c>
      <c r="E23" t="s">
        <v>164</v>
      </c>
    </row>
    <row r="24" spans="4:5" x14ac:dyDescent="0.25">
      <c r="D24" s="30" t="s">
        <v>46</v>
      </c>
      <c r="E24" s="25">
        <v>0.27076946509205707</v>
      </c>
    </row>
    <row r="25" spans="4:5" x14ac:dyDescent="0.25">
      <c r="D25" s="30" t="s">
        <v>62</v>
      </c>
      <c r="E25" s="25">
        <v>0.21774188079611914</v>
      </c>
    </row>
    <row r="26" spans="4:5" x14ac:dyDescent="0.25">
      <c r="D26" s="30" t="s">
        <v>35</v>
      </c>
      <c r="E26" s="25">
        <v>0.17334973109877211</v>
      </c>
    </row>
    <row r="27" spans="4:5" x14ac:dyDescent="0.25">
      <c r="D27" s="30" t="s">
        <v>59</v>
      </c>
      <c r="E27" s="25">
        <v>0.14602254234433626</v>
      </c>
    </row>
    <row r="28" spans="4:5" x14ac:dyDescent="0.25">
      <c r="D28" s="30" t="s">
        <v>51</v>
      </c>
      <c r="E28" s="25">
        <v>0.19211638066871542</v>
      </c>
    </row>
    <row r="29" spans="4:5" x14ac:dyDescent="0.25">
      <c r="D29" s="30" t="s">
        <v>64</v>
      </c>
      <c r="E29" s="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EFA4-6B76-47B5-874F-9609CD292924}">
  <dimension ref="A1"/>
  <sheetViews>
    <sheetView showGridLines="0" workbookViewId="0">
      <selection activeCell="W2" sqref="W2"/>
    </sheetView>
  </sheetViews>
  <sheetFormatPr defaultRowHeight="13.2" x14ac:dyDescent="0.25"/>
  <cols>
    <col min="1" max="16384" width="8.88671875" style="32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9193-324D-4EAA-9F4B-EBDB80FEA789}">
  <dimension ref="A1:G26"/>
  <sheetViews>
    <sheetView topLeftCell="B1" workbookViewId="0">
      <selection activeCell="B26" sqref="B26"/>
    </sheetView>
  </sheetViews>
  <sheetFormatPr defaultRowHeight="13.2" x14ac:dyDescent="0.25"/>
  <cols>
    <col min="1" max="1" width="13.33203125" bestFit="1" customWidth="1"/>
    <col min="2" max="2" width="33.21875" bestFit="1" customWidth="1"/>
    <col min="3" max="3" width="29.5546875" bestFit="1" customWidth="1"/>
    <col min="4" max="5" width="13.33203125" bestFit="1" customWidth="1"/>
    <col min="6" max="6" width="33.21875" bestFit="1" customWidth="1"/>
    <col min="7" max="7" width="29.5546875" bestFit="1" customWidth="1"/>
  </cols>
  <sheetData>
    <row r="1" spans="1:7" x14ac:dyDescent="0.25">
      <c r="A1" s="29" t="s">
        <v>162</v>
      </c>
      <c r="B1" t="s">
        <v>165</v>
      </c>
      <c r="D1" s="29" t="s">
        <v>162</v>
      </c>
      <c r="E1" t="s">
        <v>165</v>
      </c>
    </row>
    <row r="2" spans="1:7" x14ac:dyDescent="0.25">
      <c r="A2" s="30" t="s">
        <v>66</v>
      </c>
      <c r="B2">
        <v>11757</v>
      </c>
      <c r="D2" s="30" t="s">
        <v>46</v>
      </c>
      <c r="E2">
        <v>11080</v>
      </c>
    </row>
    <row r="3" spans="1:7" x14ac:dyDescent="0.25">
      <c r="A3" s="30" t="s">
        <v>31</v>
      </c>
      <c r="B3">
        <v>13611</v>
      </c>
      <c r="D3" s="30" t="s">
        <v>62</v>
      </c>
      <c r="E3">
        <v>11068</v>
      </c>
    </row>
    <row r="4" spans="1:7" x14ac:dyDescent="0.25">
      <c r="A4" s="30" t="s">
        <v>40</v>
      </c>
      <c r="B4">
        <v>20731</v>
      </c>
      <c r="D4" s="30" t="s">
        <v>35</v>
      </c>
      <c r="E4">
        <v>8083</v>
      </c>
    </row>
    <row r="5" spans="1:7" x14ac:dyDescent="0.25">
      <c r="A5" s="30" t="s">
        <v>64</v>
      </c>
      <c r="B5">
        <v>46099</v>
      </c>
      <c r="D5" s="30" t="s">
        <v>59</v>
      </c>
      <c r="E5">
        <v>7206</v>
      </c>
    </row>
    <row r="6" spans="1:7" x14ac:dyDescent="0.25">
      <c r="D6" s="30" t="s">
        <v>51</v>
      </c>
      <c r="E6">
        <v>8662</v>
      </c>
    </row>
    <row r="7" spans="1:7" x14ac:dyDescent="0.25">
      <c r="D7" s="30" t="s">
        <v>64</v>
      </c>
      <c r="E7">
        <v>46099</v>
      </c>
    </row>
    <row r="13" spans="1:7" x14ac:dyDescent="0.25">
      <c r="E13" s="29" t="s">
        <v>162</v>
      </c>
      <c r="F13" t="s">
        <v>167</v>
      </c>
      <c r="G13" t="s">
        <v>166</v>
      </c>
    </row>
    <row r="14" spans="1:7" x14ac:dyDescent="0.25">
      <c r="A14" s="29" t="s">
        <v>162</v>
      </c>
      <c r="B14" t="s">
        <v>167</v>
      </c>
      <c r="C14" t="s">
        <v>166</v>
      </c>
      <c r="E14" s="30" t="s">
        <v>46</v>
      </c>
      <c r="F14">
        <v>410.37037037037038</v>
      </c>
      <c r="G14">
        <v>51.544210760657243</v>
      </c>
    </row>
    <row r="15" spans="1:7" x14ac:dyDescent="0.25">
      <c r="A15" s="30" t="s">
        <v>66</v>
      </c>
      <c r="B15">
        <v>452.19230769230768</v>
      </c>
      <c r="C15">
        <v>16.593000659667918</v>
      </c>
      <c r="E15" s="30" t="s">
        <v>62</v>
      </c>
      <c r="F15">
        <v>503.09090909090907</v>
      </c>
      <c r="G15">
        <v>21.693346594146032</v>
      </c>
    </row>
    <row r="16" spans="1:7" x14ac:dyDescent="0.25">
      <c r="A16" s="30" t="s">
        <v>31</v>
      </c>
      <c r="B16">
        <v>400.3235294117647</v>
      </c>
      <c r="C16">
        <v>17.982246732281833</v>
      </c>
      <c r="E16" s="30" t="s">
        <v>35</v>
      </c>
      <c r="F16">
        <v>538.86666666666667</v>
      </c>
      <c r="G16">
        <v>18.851109294810929</v>
      </c>
    </row>
    <row r="17" spans="1:7" x14ac:dyDescent="0.25">
      <c r="A17" s="30" t="s">
        <v>40</v>
      </c>
      <c r="B17">
        <v>518.27499999999998</v>
      </c>
      <c r="C17">
        <v>45.416858294029758</v>
      </c>
      <c r="E17" s="30" t="s">
        <v>59</v>
      </c>
      <c r="F17">
        <v>400.33333333333331</v>
      </c>
      <c r="G17">
        <v>10.639172561718743</v>
      </c>
    </row>
    <row r="18" spans="1:7" x14ac:dyDescent="0.25">
      <c r="A18" s="30" t="s">
        <v>64</v>
      </c>
      <c r="B18">
        <v>460.99</v>
      </c>
      <c r="C18">
        <v>28.594887378101397</v>
      </c>
      <c r="E18" s="30" t="s">
        <v>51</v>
      </c>
      <c r="F18">
        <v>481.22222222222223</v>
      </c>
      <c r="G18">
        <v>28.681648703782173</v>
      </c>
    </row>
    <row r="19" spans="1:7" x14ac:dyDescent="0.25">
      <c r="E19" s="30" t="s">
        <v>64</v>
      </c>
      <c r="F19">
        <v>460.99</v>
      </c>
      <c r="G19">
        <v>28.594887378101394</v>
      </c>
    </row>
    <row r="23" spans="1:7" x14ac:dyDescent="0.25">
      <c r="B23" s="15">
        <f>AVERAGE(supply_chain_data!H:H)</f>
        <v>47.77</v>
      </c>
    </row>
    <row r="24" spans="1:7" x14ac:dyDescent="0.25">
      <c r="B24" s="15">
        <f>AVERAGE(supply_chain_data!E:E)</f>
        <v>460.99</v>
      </c>
    </row>
    <row r="25" spans="1:7" x14ac:dyDescent="0.25">
      <c r="B25" s="31">
        <f>AVERAGE(supply_chain_data!D:D)</f>
        <v>48.4</v>
      </c>
    </row>
    <row r="26" spans="1:7" x14ac:dyDescent="0.25">
      <c r="B26" s="31">
        <f>SUM(supply_chain_data!J:J)/COUNT(supply_chain_data!J:J)</f>
        <v>49.22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E42C-7998-4899-8B7F-FFDB3D4B4407}">
  <dimension ref="A1"/>
  <sheetViews>
    <sheetView showGridLines="0" workbookViewId="0">
      <selection sqref="A1:XFD1048576"/>
    </sheetView>
  </sheetViews>
  <sheetFormatPr defaultRowHeight="13.2" x14ac:dyDescent="0.25"/>
  <cols>
    <col min="1" max="16384" width="8.88671875" style="32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39BC-A77F-48CB-88E3-8D4E5EB7C996}">
  <dimension ref="A1:H24"/>
  <sheetViews>
    <sheetView workbookViewId="0">
      <selection activeCell="D25" sqref="D19:D25"/>
    </sheetView>
  </sheetViews>
  <sheetFormatPr defaultRowHeight="13.2" x14ac:dyDescent="0.25"/>
  <cols>
    <col min="1" max="1" width="13.33203125" bestFit="1" customWidth="1"/>
    <col min="2" max="2" width="24.88671875" bestFit="1" customWidth="1"/>
    <col min="4" max="4" width="13.33203125" bestFit="1" customWidth="1"/>
    <col min="5" max="5" width="15.21875" bestFit="1" customWidth="1"/>
    <col min="7" max="7" width="13.33203125" bestFit="1" customWidth="1"/>
    <col min="8" max="8" width="24.21875" bestFit="1" customWidth="1"/>
  </cols>
  <sheetData>
    <row r="1" spans="1:8" x14ac:dyDescent="0.25">
      <c r="A1" s="29" t="s">
        <v>162</v>
      </c>
      <c r="B1" t="s">
        <v>163</v>
      </c>
      <c r="D1" s="29" t="s">
        <v>162</v>
      </c>
      <c r="E1" t="s">
        <v>168</v>
      </c>
      <c r="G1" s="29" t="s">
        <v>162</v>
      </c>
      <c r="H1" t="s">
        <v>169</v>
      </c>
    </row>
    <row r="2" spans="1:8" x14ac:dyDescent="0.25">
      <c r="A2" s="30" t="s">
        <v>47</v>
      </c>
      <c r="B2" s="25">
        <v>0.26962266345098806</v>
      </c>
      <c r="D2" s="30" t="s">
        <v>47</v>
      </c>
      <c r="E2" s="12">
        <v>5.115384615384615</v>
      </c>
      <c r="G2" s="30" t="s">
        <v>47</v>
      </c>
      <c r="H2" s="12">
        <v>1.8239235457132916</v>
      </c>
    </row>
    <row r="3" spans="1:8" x14ac:dyDescent="0.25">
      <c r="A3" s="30" t="s">
        <v>54</v>
      </c>
      <c r="B3" s="25">
        <v>0.2856458469785898</v>
      </c>
      <c r="D3" s="30" t="s">
        <v>54</v>
      </c>
      <c r="E3" s="12">
        <v>6.5714285714285712</v>
      </c>
      <c r="G3" s="30" t="s">
        <v>54</v>
      </c>
      <c r="H3" s="12">
        <v>2.3188139085148154</v>
      </c>
    </row>
    <row r="4" spans="1:8" x14ac:dyDescent="0.25">
      <c r="A4" s="30" t="s">
        <v>38</v>
      </c>
      <c r="B4" s="25">
        <v>0.27582046941215965</v>
      </c>
      <c r="D4" s="30" t="s">
        <v>38</v>
      </c>
      <c r="E4" s="12">
        <v>4.7241379310344831</v>
      </c>
      <c r="G4" s="30" t="s">
        <v>38</v>
      </c>
      <c r="H4" s="12">
        <v>2.6209384707029098</v>
      </c>
    </row>
    <row r="5" spans="1:8" x14ac:dyDescent="0.25">
      <c r="A5" s="30" t="s">
        <v>65</v>
      </c>
      <c r="B5" s="25">
        <v>0.16891102015826243</v>
      </c>
      <c r="D5" s="30" t="s">
        <v>65</v>
      </c>
      <c r="E5" s="12">
        <v>7.117647058823529</v>
      </c>
      <c r="G5" s="30" t="s">
        <v>65</v>
      </c>
      <c r="H5" s="12">
        <v>2.3152812939185772</v>
      </c>
    </row>
    <row r="6" spans="1:8" x14ac:dyDescent="0.25">
      <c r="A6" s="30" t="s">
        <v>64</v>
      </c>
      <c r="B6" s="25">
        <v>1</v>
      </c>
      <c r="D6" s="30" t="s">
        <v>64</v>
      </c>
      <c r="E6" s="12">
        <v>5.75</v>
      </c>
      <c r="G6" s="30" t="s">
        <v>64</v>
      </c>
      <c r="H6" s="12">
        <v>2.2771579927396051</v>
      </c>
    </row>
    <row r="11" spans="1:8" x14ac:dyDescent="0.25">
      <c r="A11" s="29" t="s">
        <v>162</v>
      </c>
      <c r="B11" t="s">
        <v>169</v>
      </c>
      <c r="D11" s="29" t="s">
        <v>162</v>
      </c>
      <c r="E11" t="s">
        <v>170</v>
      </c>
      <c r="G11" s="29" t="s">
        <v>162</v>
      </c>
      <c r="H11" t="s">
        <v>171</v>
      </c>
    </row>
    <row r="12" spans="1:8" x14ac:dyDescent="0.25">
      <c r="A12" s="30" t="s">
        <v>47</v>
      </c>
      <c r="B12" s="12">
        <v>1.8239235457132916</v>
      </c>
      <c r="D12" s="30" t="s">
        <v>47</v>
      </c>
      <c r="E12" s="25">
        <v>0.19230769230769232</v>
      </c>
      <c r="G12" s="30" t="s">
        <v>47</v>
      </c>
      <c r="H12" s="11">
        <v>6.0178393777286159</v>
      </c>
    </row>
    <row r="13" spans="1:8" x14ac:dyDescent="0.25">
      <c r="A13" s="30" t="s">
        <v>54</v>
      </c>
      <c r="B13" s="12">
        <v>2.3188139085148154</v>
      </c>
      <c r="D13" s="30" t="s">
        <v>54</v>
      </c>
      <c r="E13" s="25">
        <v>0.25</v>
      </c>
      <c r="G13" s="30" t="s">
        <v>54</v>
      </c>
      <c r="H13" s="11">
        <v>5.4690979361028562</v>
      </c>
    </row>
    <row r="14" spans="1:8" x14ac:dyDescent="0.25">
      <c r="A14" s="30" t="s">
        <v>38</v>
      </c>
      <c r="B14" s="12">
        <v>2.6209384707029098</v>
      </c>
      <c r="D14" s="30" t="s">
        <v>38</v>
      </c>
      <c r="E14" s="25">
        <v>0.2413793103448276</v>
      </c>
      <c r="G14" s="30" t="s">
        <v>38</v>
      </c>
      <c r="H14" s="11">
        <v>5.542115390045792</v>
      </c>
    </row>
    <row r="15" spans="1:8" x14ac:dyDescent="0.25">
      <c r="A15" s="30" t="s">
        <v>65</v>
      </c>
      <c r="B15" s="12">
        <v>2.3152812939185772</v>
      </c>
      <c r="D15" s="30" t="s">
        <v>65</v>
      </c>
      <c r="E15" s="25">
        <v>0.23529411764705882</v>
      </c>
      <c r="G15" s="30" t="s">
        <v>65</v>
      </c>
      <c r="H15" s="11">
        <v>4.9702938152238989</v>
      </c>
    </row>
    <row r="16" spans="1:8" x14ac:dyDescent="0.25">
      <c r="A16" s="30" t="s">
        <v>64</v>
      </c>
      <c r="B16" s="12">
        <v>2.2771579927396051</v>
      </c>
      <c r="D16" s="30" t="s">
        <v>64</v>
      </c>
      <c r="E16" s="25">
        <v>0.23</v>
      </c>
      <c r="G16" s="30" t="s">
        <v>64</v>
      </c>
      <c r="H16" s="11">
        <v>5.548149072019581</v>
      </c>
    </row>
    <row r="19" spans="1:4" x14ac:dyDescent="0.25">
      <c r="D19" s="29" t="s">
        <v>162</v>
      </c>
    </row>
    <row r="20" spans="1:4" x14ac:dyDescent="0.25">
      <c r="A20" s="27">
        <f>SUM(supply_chain_data!M:M)</f>
        <v>554.81490720195836</v>
      </c>
      <c r="D20" s="30" t="s">
        <v>42</v>
      </c>
    </row>
    <row r="21" spans="1:4" x14ac:dyDescent="0.25">
      <c r="A21" s="28">
        <f>AVERAGE(supply_chain_data!U:U)</f>
        <v>2.2771579927396073</v>
      </c>
      <c r="D21" s="30" t="s">
        <v>63</v>
      </c>
    </row>
    <row r="22" spans="1:4" x14ac:dyDescent="0.25">
      <c r="A22">
        <f>100*SUM(supply_chain_data!AB:AB)/COUNT(supply_chain_data!AB:AB)</f>
        <v>23</v>
      </c>
      <c r="D22" s="30" t="s">
        <v>33</v>
      </c>
    </row>
    <row r="23" spans="1:4" x14ac:dyDescent="0.25">
      <c r="A23" s="15">
        <f>AVERAGE(supply_chain_data!I:I)</f>
        <v>15.96</v>
      </c>
      <c r="D23" s="30" t="s">
        <v>45</v>
      </c>
    </row>
    <row r="24" spans="1:4" x14ac:dyDescent="0.25">
      <c r="D24" s="30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DA19-6730-4398-A1E8-B773B501C3B8}">
  <dimension ref="A1"/>
  <sheetViews>
    <sheetView showGridLines="0" tabSelected="1" workbookViewId="0">
      <selection sqref="A1:XFD1048576"/>
    </sheetView>
  </sheetViews>
  <sheetFormatPr defaultRowHeight="13.2" x14ac:dyDescent="0.25"/>
  <cols>
    <col min="1" max="16384" width="8.88671875" style="32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supply_chain_data</vt:lpstr>
      <vt:lpstr>PVT Revenue</vt:lpstr>
      <vt:lpstr>Dashboard Revenue</vt:lpstr>
      <vt:lpstr>PVT Inventory</vt:lpstr>
      <vt:lpstr>Dashboard Inventory</vt:lpstr>
      <vt:lpstr>PVT Tranportation</vt:lpstr>
      <vt:lpstr>Dashboard Tranportation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 kumar</dc:creator>
  <cp:lastModifiedBy>sasi kumar</cp:lastModifiedBy>
  <dcterms:created xsi:type="dcterms:W3CDTF">2026-08-05T15:30:49Z</dcterms:created>
  <dcterms:modified xsi:type="dcterms:W3CDTF">2026-08-09T04:48:42Z</dcterms:modified>
</cp:coreProperties>
</file>